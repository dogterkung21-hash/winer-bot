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Gkung\Desktop\winner-bot\"/>
    </mc:Choice>
  </mc:AlternateContent>
  <xr:revisionPtr revIDLastSave="0" documentId="13_ncr:1_{34D6368A-A97A-4E66-B400-9159799F32EF}" xr6:coauthVersionLast="47" xr6:coauthVersionMax="47" xr10:uidLastSave="{00000000-0000-0000-0000-000000000000}"/>
  <bookViews>
    <workbookView xWindow="-120" yWindow="-120" windowWidth="29040" windowHeight="15840" tabRatio="713" activeTab="1" xr2:uid="{81A48FFC-99D8-4794-881B-90B80DE639D5}"/>
  </bookViews>
  <sheets>
    <sheet name="เสนอราคา" sheetId="7" r:id="rId1"/>
    <sheet name="อินวอย(ช)" sheetId="23" r:id="rId2"/>
    <sheet name="รับเงิน" sheetId="22" r:id="rId3"/>
  </sheets>
  <definedNames>
    <definedName name="_xlnm.Print_Area" localSheetId="2">รับเงิน!$A$1:$K$50</definedName>
    <definedName name="_xlnm.Print_Area" localSheetId="0">เสนอราคา!$A$1:$J$51</definedName>
    <definedName name="_xlnm.Print_Area" localSheetId="1">'อินวอย(ช)'!$A$1:$K$52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4" i="22" l="1"/>
  <c r="J32" i="22"/>
  <c r="J36" i="23"/>
  <c r="J33" i="23"/>
  <c r="J20" i="23" l="1"/>
  <c r="J29" i="23" s="1"/>
  <c r="J31" i="23" l="1"/>
  <c r="B36" i="23"/>
  <c r="J37" i="23" l="1"/>
  <c r="I16" i="22" l="1"/>
  <c r="I29" i="22" s="1"/>
  <c r="I30" i="22" l="1"/>
  <c r="F35" i="22" l="1"/>
  <c r="H21" i="7"/>
  <c r="H33" i="7" s="1"/>
  <c r="H34" i="7" l="1"/>
  <c r="H37" i="7" s="1"/>
  <c r="E38" i="7" s="1"/>
</calcChain>
</file>

<file path=xl/sharedStrings.xml><?xml version="1.0" encoding="utf-8"?>
<sst xmlns="http://schemas.openxmlformats.org/spreadsheetml/2006/main" count="106" uniqueCount="89">
  <si>
    <t>ชื่อลูกค้า</t>
  </si>
  <si>
    <t>เลขที่</t>
  </si>
  <si>
    <t>วันที่</t>
  </si>
  <si>
    <t>ครบกำหนด</t>
  </si>
  <si>
    <t>ที่อยู่</t>
  </si>
  <si>
    <t>ผู้ออก</t>
  </si>
  <si>
    <t>เลขประจำตัวผู้เสียภาษี</t>
  </si>
  <si>
    <t>เบอร์โทร</t>
  </si>
  <si>
    <t>อีเมล</t>
  </si>
  <si>
    <t>ลำดับ</t>
  </si>
  <si>
    <t>จำนวน</t>
  </si>
  <si>
    <t>ราคา/หน่วย</t>
  </si>
  <si>
    <t>รายการ</t>
  </si>
  <si>
    <t>หมายเหตุ</t>
  </si>
  <si>
    <t>ภาษีมูลค่าเพิ่ม (7%)</t>
  </si>
  <si>
    <t>ส่วนลด</t>
  </si>
  <si>
    <t>จำนวนเงินรวมทั้งสิ้น</t>
  </si>
  <si>
    <t>ผู้อนุมัติ</t>
  </si>
  <si>
    <t>ผู้รับใบเสนอราคา</t>
  </si>
  <si>
    <t>ตัวแทนขาย</t>
  </si>
  <si>
    <t>ผู้จัดการ</t>
  </si>
  <si>
    <t>ลูกค้า</t>
  </si>
  <si>
    <t>ราคาต่อหน่วย</t>
  </si>
  <si>
    <t>รายละเอียด</t>
  </si>
  <si>
    <t>รวมเป็นเงิน</t>
  </si>
  <si>
    <t>รวมเป็นเงินทั้งสิ้น</t>
  </si>
  <si>
    <t>ยอดชำระคงเหลือทั้งสิ้น</t>
  </si>
  <si>
    <t>รายการสินค้า</t>
  </si>
  <si>
    <t xml:space="preserve">        ราคารวม</t>
  </si>
  <si>
    <t>รวมราคา                       :</t>
  </si>
  <si>
    <t>ภาษีมูลค่าเพิ่ม (7%)         :</t>
  </si>
  <si>
    <t>ส่วนลด                         :</t>
  </si>
  <si>
    <t>038-476418 ต่อ 114</t>
  </si>
  <si>
    <t>-</t>
  </si>
  <si>
    <t>เงื่อนไข</t>
  </si>
  <si>
    <t>......................................................................................................................................</t>
  </si>
  <si>
    <t>.......................................................................................................................................</t>
  </si>
  <si>
    <t xml:space="preserve">      0.00</t>
  </si>
  <si>
    <t xml:space="preserve">รวมราคา                        </t>
  </si>
  <si>
    <t>บริษัท ที.เอช.เจ.เฟอร์นิเจอร์ จำกัด</t>
  </si>
  <si>
    <t xml:space="preserve">           ฝ่ายการเงินบริษัทฯ</t>
  </si>
  <si>
    <t xml:space="preserve">    นางสาว จารุวรรณ เพ็ชรพรรณ</t>
  </si>
  <si>
    <t>นายสุริยา มาสุข</t>
  </si>
  <si>
    <t>.................................................................รับชำระโดย</t>
  </si>
  <si>
    <t>..............................................................................อนุมัติโดย</t>
  </si>
  <si>
    <t xml:space="preserve"> </t>
  </si>
  <si>
    <t>ส</t>
  </si>
  <si>
    <t>รวมราคา</t>
  </si>
  <si>
    <t>ราคา</t>
  </si>
  <si>
    <t>เลขกำกับภาษี :</t>
  </si>
  <si>
    <t>ที่อยู่ :</t>
  </si>
  <si>
    <t>ข้อมูลลูกค้า</t>
  </si>
  <si>
    <t>WN-P56-47</t>
  </si>
  <si>
    <t xml:space="preserve">       บริษัท วินเนอร์ เชียงราย จำกัด</t>
  </si>
  <si>
    <t xml:space="preserve">       511/18-19 ถนนสุขสถิตย์ ตำบลเวียง</t>
  </si>
  <si>
    <t xml:space="preserve">       อำเภอเมืองเชียงราย จังหวัดเชียงราย 57000</t>
  </si>
  <si>
    <t>0575554000024</t>
  </si>
  <si>
    <t>เตียงผู้ป่วย 3 ไกร์ระบบมือหมุน ขนาด 96x200x46-67 ซม.</t>
  </si>
  <si>
    <t>นายชนายุส อนันต์ทรัพย์เจริญ</t>
  </si>
  <si>
    <t>หมายเหตุ :</t>
  </si>
  <si>
    <t xml:space="preserve">            ยอดรวม</t>
  </si>
  <si>
    <r>
      <t xml:space="preserve">เบอร์โทร  </t>
    </r>
    <r>
      <rPr>
        <sz val="9"/>
        <color theme="1" tint="4.9989318521683403E-2"/>
        <rFont val="Prompt"/>
      </rPr>
      <t>:</t>
    </r>
  </si>
  <si>
    <r>
      <rPr>
        <b/>
        <sz val="9"/>
        <color theme="1"/>
        <rFont val="Prompt"/>
      </rPr>
      <t>เลขกำกับภาษี</t>
    </r>
    <r>
      <rPr>
        <sz val="9"/>
        <color theme="1"/>
        <rFont val="Prompt"/>
      </rPr>
      <t xml:space="preserve"> : </t>
    </r>
  </si>
  <si>
    <t xml:space="preserve">วันที่   </t>
  </si>
  <si>
    <t xml:space="preserve">เลขที่   </t>
  </si>
  <si>
    <r>
      <rPr>
        <b/>
        <sz val="9"/>
        <color theme="1" tint="4.9989318521683403E-2"/>
        <rFont val="Prompt"/>
      </rPr>
      <t>ที่อยู่</t>
    </r>
    <r>
      <rPr>
        <sz val="9"/>
        <color theme="1"/>
        <rFont val="Prompt"/>
      </rPr>
      <t xml:space="preserve"> : </t>
    </r>
  </si>
  <si>
    <r>
      <rPr>
        <b/>
        <sz val="10"/>
        <color theme="5" tint="-0.249977111117893"/>
        <rFont val="Prompt"/>
      </rPr>
      <t xml:space="preserve">เลขที่   </t>
    </r>
    <r>
      <rPr>
        <sz val="10"/>
        <color theme="5" tint="-0.249977111117893"/>
        <rFont val="Prompt"/>
      </rPr>
      <t xml:space="preserve">       </t>
    </r>
    <r>
      <rPr>
        <sz val="10"/>
        <color theme="1"/>
        <rFont val="Prompt"/>
      </rPr>
      <t>WN-P56-47</t>
    </r>
  </si>
  <si>
    <t>นางสาวกัลยาณี กมลสาร</t>
  </si>
  <si>
    <t>59 หมู่ที่ 7  ตำบลร่องคำ</t>
  </si>
  <si>
    <t>อำเภอร่องคำ จังหวัดกาฬสินธุ์</t>
  </si>
  <si>
    <t>3460400011558</t>
  </si>
  <si>
    <t>0630583258</t>
  </si>
  <si>
    <t>ชำระ (13%)</t>
  </si>
  <si>
    <t>**ลูกค้าชำระยอด 13% จากยอดเต๋มเป็นจำนวนเงิน 50,000 บาท**</t>
  </si>
  <si>
    <t xml:space="preserve">      บริษัท คลีน แอนด์ แคร์ พูล เซอร์วิส ซิสเทม จำกัด (สำนักงานใหญ่)</t>
  </si>
  <si>
    <t xml:space="preserve">      162/101 หมู่ที่ 9 ตำบลสวนหลวง</t>
  </si>
  <si>
    <t xml:space="preserve">      อำเภอกระทุ่มแบน จังหวัดสมุทรสาคร 74110</t>
  </si>
  <si>
    <t>บริษัท คลีน แอนด์ แคร์ พูล เซอร์วิส ซิสเทม จำกัด (สำนักงานใหญ่)</t>
  </si>
  <si>
    <t>อำเภอกระทุ่มแบน จังหวัดสมุทรสาคร 74110</t>
  </si>
  <si>
    <t>0745564002745</t>
  </si>
  <si>
    <t>0891351884</t>
  </si>
  <si>
    <t>ชำระก่อน (60%)</t>
  </si>
  <si>
    <t>162/101 หมู่ที่ 9 ตำบลสวนหลวง</t>
  </si>
  <si>
    <t>WN-P56-53</t>
  </si>
  <si>
    <r>
      <rPr>
        <b/>
        <sz val="10"/>
        <color theme="5" tint="-0.249977111117893"/>
        <rFont val="Prompt"/>
      </rPr>
      <t xml:space="preserve">วันที่  </t>
    </r>
    <r>
      <rPr>
        <sz val="10"/>
        <color theme="5" tint="-0.249977111117893"/>
        <rFont val="Prompt"/>
      </rPr>
      <t xml:space="preserve">      </t>
    </r>
    <r>
      <rPr>
        <sz val="10"/>
        <rFont val="Prompt"/>
      </rPr>
      <t xml:space="preserve">   11</t>
    </r>
    <r>
      <rPr>
        <sz val="10"/>
        <color theme="1"/>
        <rFont val="Prompt"/>
      </rPr>
      <t>/10/2569</t>
    </r>
  </si>
  <si>
    <r>
      <rPr>
        <b/>
        <sz val="10"/>
        <color theme="5" tint="-0.249977111117893"/>
        <rFont val="Prompt"/>
      </rPr>
      <t>ครบกำหนด</t>
    </r>
    <r>
      <rPr>
        <sz val="10"/>
        <color theme="5" tint="-0.249977111117893"/>
        <rFont val="Prompt"/>
      </rPr>
      <t xml:space="preserve">  </t>
    </r>
    <r>
      <rPr>
        <sz val="10"/>
        <color theme="1"/>
        <rFont val="Prompt"/>
      </rPr>
      <t xml:space="preserve"> 17/10/2569</t>
    </r>
  </si>
  <si>
    <t>เลขกำกับภาษี    0745564002745</t>
  </si>
  <si>
    <t>เบอร์โทรศัพท์  0891351884</t>
  </si>
  <si>
    <t>อีเมล 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</si>
</sst>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7" formatCode="[$-101041E]d\ mmmm\ yyyy;@"/>
  </numFmts>
  <fonts count="5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1"/>
      <color theme="1"/>
      <name val="Prompt"/>
    </font>
    <font>
      <b/>
      <sz val="11"/>
      <color theme="0"/>
      <name val="Prompt"/>
    </font>
    <font>
      <sz val="10"/>
      <color theme="1"/>
      <name val="Prompt"/>
    </font>
    <font>
      <sz val="9"/>
      <color theme="1"/>
      <name val="Prompt"/>
    </font>
    <font>
      <b/>
      <sz val="11"/>
      <color theme="1"/>
      <name val="Prompt"/>
    </font>
    <font>
      <sz val="8"/>
      <color theme="1"/>
      <name val="Prompt"/>
    </font>
    <font>
      <b/>
      <sz val="60"/>
      <color theme="0"/>
      <name val="Prompt"/>
    </font>
    <font>
      <b/>
      <sz val="10"/>
      <color theme="0"/>
      <name val="Prompt"/>
    </font>
    <font>
      <b/>
      <sz val="10"/>
      <color theme="1"/>
      <name val="Prompt"/>
    </font>
    <font>
      <b/>
      <sz val="10"/>
      <color theme="5"/>
      <name val="Prompt"/>
    </font>
    <font>
      <b/>
      <sz val="22"/>
      <color theme="5"/>
      <name val="Prompt"/>
    </font>
    <font>
      <b/>
      <sz val="11"/>
      <color theme="5"/>
      <name val="Prompt"/>
    </font>
    <font>
      <b/>
      <sz val="12"/>
      <color theme="5"/>
      <name val="Prompt"/>
    </font>
    <font>
      <sz val="10"/>
      <color theme="5"/>
      <name val="Prompt"/>
    </font>
    <font>
      <sz val="10"/>
      <color rgb="FF002060"/>
      <name val="Prompt"/>
    </font>
    <font>
      <sz val="11"/>
      <color rgb="FF002060"/>
      <name val="Prompt"/>
    </font>
    <font>
      <b/>
      <sz val="11"/>
      <color rgb="FF002060"/>
      <name val="Prompt"/>
    </font>
    <font>
      <sz val="9"/>
      <color rgb="FF002060"/>
      <name val="Prompt"/>
    </font>
    <font>
      <b/>
      <sz val="14"/>
      <color rgb="FF002060"/>
      <name val="Prompt"/>
    </font>
    <font>
      <sz val="8"/>
      <color rgb="FF002060"/>
      <name val="Prompt"/>
    </font>
    <font>
      <b/>
      <sz val="10"/>
      <color rgb="FF002060"/>
      <name val="Prompt"/>
    </font>
    <font>
      <b/>
      <sz val="12"/>
      <color theme="0"/>
      <name val="Prompt"/>
    </font>
    <font>
      <b/>
      <sz val="7"/>
      <color theme="0"/>
      <name val="Prompt"/>
    </font>
    <font>
      <sz val="10"/>
      <name val="Prompt"/>
    </font>
    <font>
      <b/>
      <sz val="10"/>
      <color theme="5" tint="0.39997558519241921"/>
      <name val="Prompt"/>
    </font>
    <font>
      <sz val="11"/>
      <color theme="5"/>
      <name val="Prompt"/>
    </font>
    <font>
      <sz val="9"/>
      <color theme="5"/>
      <name val="Prompt"/>
    </font>
    <font>
      <b/>
      <sz val="7"/>
      <color rgb="FFFF0000"/>
      <name val="Prompt"/>
    </font>
    <font>
      <b/>
      <sz val="6.5"/>
      <color theme="0"/>
      <name val="Prompt"/>
    </font>
    <font>
      <sz val="11"/>
      <name val="Prompt"/>
    </font>
    <font>
      <sz val="11"/>
      <color rgb="FF00B0F0"/>
      <name val="Prompt"/>
    </font>
    <font>
      <sz val="11"/>
      <color theme="0"/>
      <name val="Prompt"/>
    </font>
    <font>
      <sz val="12"/>
      <color theme="0"/>
      <name val="Prompt"/>
    </font>
    <font>
      <b/>
      <sz val="11"/>
      <name val="Prompt"/>
    </font>
    <font>
      <b/>
      <sz val="11"/>
      <color rgb="FF00B0F0"/>
      <name val="Prompt"/>
    </font>
    <font>
      <b/>
      <sz val="10"/>
      <color rgb="FFFF0000"/>
      <name val="Prompt"/>
    </font>
    <font>
      <b/>
      <sz val="6.5"/>
      <name val="Prompt"/>
    </font>
    <font>
      <b/>
      <sz val="8"/>
      <name val="Prompt"/>
    </font>
    <font>
      <b/>
      <sz val="10"/>
      <color theme="5" tint="-0.249977111117893"/>
      <name val="Prompt"/>
    </font>
    <font>
      <sz val="10"/>
      <color theme="5" tint="-0.249977111117893"/>
      <name val="Prompt"/>
    </font>
    <font>
      <b/>
      <sz val="9"/>
      <color theme="5" tint="-0.249977111117893"/>
      <name val="Prompt"/>
    </font>
    <font>
      <sz val="11"/>
      <color rgb="FFE97515"/>
      <name val="Prompt"/>
    </font>
    <font>
      <sz val="11"/>
      <color theme="1" tint="4.9989318521683403E-2"/>
      <name val="Prompt"/>
    </font>
    <font>
      <sz val="14"/>
      <color theme="1"/>
      <name val="Prompt"/>
    </font>
    <font>
      <b/>
      <sz val="10"/>
      <color theme="2" tint="-0.749992370372631"/>
      <name val="Prompt"/>
    </font>
    <font>
      <b/>
      <sz val="9"/>
      <color theme="1"/>
      <name val="Prompt"/>
    </font>
    <font>
      <b/>
      <sz val="9"/>
      <color theme="1" tint="4.9989318521683403E-2"/>
      <name val="Prompt"/>
    </font>
    <font>
      <sz val="9"/>
      <color theme="1" tint="4.9989318521683403E-2"/>
      <name val="Prompt"/>
    </font>
    <font>
      <sz val="9"/>
      <color theme="1"/>
      <name val="Tahoma"/>
      <family val="2"/>
      <charset val="222"/>
      <scheme val="minor"/>
    </font>
    <font>
      <b/>
      <sz val="11"/>
      <color theme="4" tint="-0.499984740745262"/>
      <name val="Prompt"/>
    </font>
    <font>
      <sz val="9"/>
      <color theme="1"/>
      <name val="Anakotmai Medium"/>
      <family val="3"/>
      <charset val="222"/>
    </font>
    <font>
      <sz val="9"/>
      <color theme="1"/>
      <name val="Anakotmai Bold"/>
      <family val="3"/>
      <charset val="222"/>
    </font>
    <font>
      <sz val="10"/>
      <color rgb="FFFF0000"/>
      <name val="Prompt"/>
    </font>
    <font>
      <sz val="10"/>
      <color theme="0"/>
      <name val="Prompt"/>
    </font>
    <font>
      <sz val="11"/>
      <color theme="3" tint="0.89999084444715716"/>
      <name val="Tahoma"/>
      <family val="2"/>
      <charset val="222"/>
      <scheme val="minor"/>
    </font>
    <font>
      <sz val="11"/>
      <color theme="3" tint="0.499984740745262"/>
      <name val="Tahoma"/>
      <family val="2"/>
      <charset val="22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49998474074526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2">
    <xf numFmtId="0" fontId="0" fillId="0" borderId="0" xfId="0"/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3" borderId="0" xfId="0" applyFont="1" applyFill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top"/>
    </xf>
    <xf numFmtId="0" fontId="14" fillId="0" borderId="0" xfId="0" applyFont="1" applyAlignment="1">
      <alignment vertical="top"/>
    </xf>
    <xf numFmtId="0" fontId="13" fillId="0" borderId="0" xfId="0" applyFont="1" applyAlignment="1">
      <alignment vertical="center"/>
    </xf>
    <xf numFmtId="43" fontId="15" fillId="0" borderId="0" xfId="0" applyNumberFormat="1" applyFont="1" applyAlignment="1">
      <alignment vertical="center"/>
    </xf>
    <xf numFmtId="49" fontId="15" fillId="0" borderId="0" xfId="0" applyNumberFormat="1" applyFont="1" applyAlignment="1">
      <alignment vertical="center"/>
    </xf>
    <xf numFmtId="0" fontId="3" fillId="0" borderId="0" xfId="0" applyFont="1" applyAlignment="1">
      <alignment horizontal="center" vertical="center"/>
    </xf>
    <xf numFmtId="0" fontId="6" fillId="0" borderId="0" xfId="0" applyFont="1"/>
    <xf numFmtId="0" fontId="16" fillId="0" borderId="0" xfId="0" applyFont="1" applyAlignment="1">
      <alignment horizontal="center" vertical="top"/>
    </xf>
    <xf numFmtId="0" fontId="17" fillId="0" borderId="0" xfId="0" applyFont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16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43" fontId="19" fillId="0" borderId="0" xfId="1" applyFont="1" applyAlignment="1"/>
    <xf numFmtId="0" fontId="17" fillId="0" borderId="0" xfId="0" applyFont="1" applyAlignment="1">
      <alignment vertical="center"/>
    </xf>
    <xf numFmtId="0" fontId="17" fillId="0" borderId="1" xfId="0" applyFont="1" applyBorder="1" applyAlignment="1">
      <alignment vertical="center"/>
    </xf>
    <xf numFmtId="0" fontId="17" fillId="0" borderId="0" xfId="0" applyFont="1" applyAlignment="1">
      <alignment horizontal="left" vertical="center"/>
    </xf>
    <xf numFmtId="0" fontId="17" fillId="0" borderId="0" xfId="0" applyFont="1" applyAlignment="1">
      <alignment horizontal="right" vertical="center"/>
    </xf>
    <xf numFmtId="49" fontId="17" fillId="0" borderId="0" xfId="1" applyNumberFormat="1" applyFont="1" applyAlignment="1">
      <alignment horizontal="center" vertical="center"/>
    </xf>
    <xf numFmtId="49" fontId="17" fillId="0" borderId="0" xfId="1" applyNumberFormat="1" applyFont="1" applyAlignment="1">
      <alignment vertical="center"/>
    </xf>
    <xf numFmtId="0" fontId="18" fillId="0" borderId="0" xfId="0" applyFont="1"/>
    <xf numFmtId="0" fontId="17" fillId="0" borderId="0" xfId="0" applyFont="1" applyAlignment="1">
      <alignment horizontal="left" vertical="top"/>
    </xf>
    <xf numFmtId="0" fontId="18" fillId="0" borderId="0" xfId="0" applyFont="1" applyAlignment="1">
      <alignment horizontal="center" vertical="top"/>
    </xf>
    <xf numFmtId="0" fontId="7" fillId="0" borderId="0" xfId="0" applyFont="1" applyAlignment="1">
      <alignment horizontal="center"/>
    </xf>
    <xf numFmtId="0" fontId="2" fillId="0" borderId="0" xfId="0" applyFont="1"/>
    <xf numFmtId="0" fontId="13" fillId="0" borderId="0" xfId="0" applyFont="1" applyAlignment="1">
      <alignment horizontal="left"/>
    </xf>
    <xf numFmtId="43" fontId="28" fillId="0" borderId="0" xfId="0" applyNumberFormat="1" applyFont="1" applyAlignment="1">
      <alignment vertical="center"/>
    </xf>
    <xf numFmtId="43" fontId="2" fillId="0" borderId="0" xfId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top"/>
    </xf>
    <xf numFmtId="0" fontId="24" fillId="0" borderId="0" xfId="0" applyFont="1" applyAlignment="1">
      <alignment vertical="center"/>
    </xf>
    <xf numFmtId="0" fontId="30" fillId="0" borderId="0" xfId="0" applyFont="1" applyAlignment="1">
      <alignment vertical="center"/>
    </xf>
    <xf numFmtId="0" fontId="30" fillId="0" borderId="0" xfId="0" applyFont="1" applyAlignment="1">
      <alignment vertical="top"/>
    </xf>
    <xf numFmtId="0" fontId="23" fillId="0" borderId="0" xfId="0" applyFont="1" applyAlignment="1">
      <alignment vertical="center"/>
    </xf>
    <xf numFmtId="43" fontId="0" fillId="0" borderId="0" xfId="0" applyNumberFormat="1"/>
    <xf numFmtId="0" fontId="32" fillId="0" borderId="0" xfId="0" applyFont="1" applyAlignment="1">
      <alignment vertical="center"/>
    </xf>
    <xf numFmtId="43" fontId="3" fillId="5" borderId="0" xfId="0" applyNumberFormat="1" applyFont="1" applyFill="1" applyAlignment="1">
      <alignment horizontal="right"/>
    </xf>
    <xf numFmtId="43" fontId="33" fillId="5" borderId="0" xfId="0" applyNumberFormat="1" applyFont="1" applyFill="1" applyAlignment="1">
      <alignment horizontal="right"/>
    </xf>
    <xf numFmtId="0" fontId="23" fillId="5" borderId="0" xfId="0" applyFont="1" applyFill="1"/>
    <xf numFmtId="0" fontId="34" fillId="0" borderId="0" xfId="0" applyFont="1"/>
    <xf numFmtId="0" fontId="32" fillId="0" borderId="0" xfId="0" applyFont="1"/>
    <xf numFmtId="0" fontId="31" fillId="0" borderId="0" xfId="0" applyFont="1"/>
    <xf numFmtId="0" fontId="35" fillId="0" borderId="0" xfId="0" applyFont="1" applyAlignment="1">
      <alignment horizontal="left"/>
    </xf>
    <xf numFmtId="0" fontId="36" fillId="0" borderId="0" xfId="0" applyFont="1" applyAlignment="1">
      <alignment horizontal="left"/>
    </xf>
    <xf numFmtId="43" fontId="2" fillId="0" borderId="0" xfId="1" applyFont="1" applyAlignment="1">
      <alignment vertical="center"/>
    </xf>
    <xf numFmtId="43" fontId="31" fillId="0" borderId="0" xfId="0" applyNumberFormat="1" applyFont="1"/>
    <xf numFmtId="43" fontId="31" fillId="0" borderId="0" xfId="1" applyFont="1" applyAlignment="1">
      <alignment horizontal="center" vertical="center"/>
    </xf>
    <xf numFmtId="0" fontId="35" fillId="0" borderId="0" xfId="0" applyFont="1" applyAlignment="1">
      <alignment horizontal="left" vertical="center"/>
    </xf>
    <xf numFmtId="0" fontId="36" fillId="0" borderId="0" xfId="0" applyFont="1" applyAlignment="1">
      <alignment horizontal="left" vertical="center"/>
    </xf>
    <xf numFmtId="43" fontId="31" fillId="0" borderId="0" xfId="0" applyNumberFormat="1" applyFont="1" applyAlignment="1">
      <alignment horizontal="center" vertical="center"/>
    </xf>
    <xf numFmtId="0" fontId="35" fillId="0" borderId="0" xfId="0" applyFont="1"/>
    <xf numFmtId="0" fontId="9" fillId="0" borderId="0" xfId="0" applyFont="1" applyAlignment="1">
      <alignment horizontal="center" vertical="center"/>
    </xf>
    <xf numFmtId="0" fontId="37" fillId="0" borderId="0" xfId="0" applyFont="1" applyAlignment="1">
      <alignment vertical="center"/>
    </xf>
    <xf numFmtId="0" fontId="38" fillId="0" borderId="0" xfId="0" applyFont="1" applyAlignment="1">
      <alignment wrapText="1"/>
    </xf>
    <xf numFmtId="43" fontId="39" fillId="0" borderId="0" xfId="1" applyFont="1" applyFill="1" applyBorder="1" applyAlignment="1">
      <alignment horizontal="right"/>
    </xf>
    <xf numFmtId="0" fontId="39" fillId="0" borderId="0" xfId="0" applyFont="1" applyAlignment="1">
      <alignment horizontal="center"/>
    </xf>
    <xf numFmtId="0" fontId="3" fillId="5" borderId="0" xfId="0" applyFont="1" applyFill="1" applyAlignment="1">
      <alignment horizontal="center" vertical="center"/>
    </xf>
    <xf numFmtId="0" fontId="40" fillId="0" borderId="0" xfId="0" applyFont="1" applyAlignment="1">
      <alignment vertical="center"/>
    </xf>
    <xf numFmtId="0" fontId="41" fillId="0" borderId="0" xfId="0" applyFont="1" applyAlignment="1">
      <alignment vertical="center"/>
    </xf>
    <xf numFmtId="0" fontId="41" fillId="0" borderId="0" xfId="0" applyFont="1" applyAlignment="1">
      <alignment vertical="top"/>
    </xf>
    <xf numFmtId="0" fontId="42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42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/>
    <xf numFmtId="0" fontId="4" fillId="0" borderId="0" xfId="0" applyFont="1" applyAlignment="1">
      <alignment wrapText="1"/>
    </xf>
    <xf numFmtId="0" fontId="26" fillId="0" borderId="0" xfId="0" applyFont="1" applyAlignment="1">
      <alignment vertical="center"/>
    </xf>
    <xf numFmtId="0" fontId="2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5" fillId="0" borderId="0" xfId="0" applyFont="1" applyAlignment="1">
      <alignment wrapText="1"/>
    </xf>
    <xf numFmtId="0" fontId="12" fillId="0" borderId="0" xfId="0" applyFont="1"/>
    <xf numFmtId="0" fontId="2" fillId="6" borderId="0" xfId="0" applyFont="1" applyFill="1" applyAlignment="1">
      <alignment horizontal="center" vertical="center"/>
    </xf>
    <xf numFmtId="43" fontId="6" fillId="0" borderId="0" xfId="0" applyNumberFormat="1" applyFont="1"/>
    <xf numFmtId="43" fontId="2" fillId="0" borderId="0" xfId="0" applyNumberFormat="1" applyFont="1"/>
    <xf numFmtId="0" fontId="46" fillId="0" borderId="0" xfId="0" applyFont="1" applyAlignment="1">
      <alignment horizontal="left"/>
    </xf>
    <xf numFmtId="0" fontId="0" fillId="4" borderId="0" xfId="0" applyFill="1"/>
    <xf numFmtId="0" fontId="0" fillId="0" borderId="0" xfId="0" applyAlignment="1">
      <alignment horizontal="center"/>
    </xf>
    <xf numFmtId="0" fontId="0" fillId="4" borderId="0" xfId="0" applyFill="1" applyAlignment="1">
      <alignment vertical="center"/>
    </xf>
    <xf numFmtId="0" fontId="0" fillId="0" borderId="0" xfId="0" applyAlignment="1">
      <alignment horizontal="center" vertical="center"/>
    </xf>
    <xf numFmtId="0" fontId="47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8" fillId="0" borderId="0" xfId="0" applyFont="1" applyAlignment="1">
      <alignment horizontal="left" vertical="center"/>
    </xf>
    <xf numFmtId="0" fontId="48" fillId="0" borderId="0" xfId="0" applyFont="1" applyAlignment="1">
      <alignment horizontal="right" vertical="center"/>
    </xf>
    <xf numFmtId="0" fontId="50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47" fillId="0" borderId="0" xfId="0" applyFont="1"/>
    <xf numFmtId="0" fontId="0" fillId="7" borderId="0" xfId="0" applyFill="1"/>
    <xf numFmtId="0" fontId="0" fillId="8" borderId="0" xfId="0" applyFill="1"/>
    <xf numFmtId="43" fontId="3" fillId="8" borderId="0" xfId="0" applyNumberFormat="1" applyFont="1" applyFill="1"/>
    <xf numFmtId="43" fontId="39" fillId="0" borderId="0" xfId="0" applyNumberFormat="1" applyFont="1" applyAlignment="1">
      <alignment horizontal="center"/>
    </xf>
    <xf numFmtId="43" fontId="4" fillId="0" borderId="0" xfId="0" applyNumberFormat="1" applyFont="1" applyAlignment="1">
      <alignment horizontal="center" vertical="center"/>
    </xf>
    <xf numFmtId="43" fontId="2" fillId="0" borderId="0" xfId="1" applyFont="1" applyBorder="1" applyAlignment="1">
      <alignment vertical="center"/>
    </xf>
    <xf numFmtId="0" fontId="22" fillId="0" borderId="0" xfId="0" applyFont="1" applyAlignment="1">
      <alignment horizontal="left" vertical="top"/>
    </xf>
    <xf numFmtId="43" fontId="55" fillId="0" borderId="0" xfId="0" applyNumberFormat="1" applyFont="1" applyAlignment="1">
      <alignment horizontal="center" vertical="center"/>
    </xf>
    <xf numFmtId="0" fontId="41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31" fillId="0" borderId="0" xfId="0" applyFont="1" applyAlignment="1">
      <alignment horizontal="right" vertical="center"/>
    </xf>
    <xf numFmtId="187" fontId="41" fillId="0" borderId="0" xfId="0" applyNumberFormat="1" applyFont="1" applyAlignment="1">
      <alignment horizontal="left" vertical="top"/>
    </xf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3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7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4" fillId="0" borderId="0" xfId="0" quotePrefix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top"/>
    </xf>
    <xf numFmtId="0" fontId="5" fillId="0" borderId="0" xfId="0" quotePrefix="1" applyFont="1" applyAlignment="1">
      <alignment horizontal="left" vertical="top"/>
    </xf>
    <xf numFmtId="0" fontId="6" fillId="0" borderId="0" xfId="0" applyFont="1" applyAlignment="1">
      <alignment horizontal="left" vertical="center"/>
    </xf>
    <xf numFmtId="0" fontId="3" fillId="5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17" fillId="0" borderId="0" xfId="0" applyFont="1" applyAlignment="1">
      <alignment horizontal="center" vertical="center"/>
    </xf>
    <xf numFmtId="43" fontId="20" fillId="0" borderId="0" xfId="0" applyNumberFormat="1" applyFont="1" applyAlignment="1">
      <alignment horizontal="center" vertical="top"/>
    </xf>
    <xf numFmtId="0" fontId="20" fillId="0" borderId="0" xfId="0" applyFont="1" applyAlignment="1">
      <alignment horizontal="center" vertical="top"/>
    </xf>
    <xf numFmtId="0" fontId="17" fillId="0" borderId="0" xfId="0" applyFont="1" applyAlignment="1">
      <alignment horizontal="right" vertical="center"/>
    </xf>
    <xf numFmtId="0" fontId="18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43" fontId="17" fillId="0" borderId="2" xfId="0" applyNumberFormat="1" applyFont="1" applyBorder="1" applyAlignment="1">
      <alignment horizontal="right" vertical="center"/>
    </xf>
    <xf numFmtId="43" fontId="17" fillId="0" borderId="0" xfId="0" applyNumberFormat="1" applyFont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6" fillId="0" borderId="2" xfId="0" applyFont="1" applyBorder="1" applyAlignment="1">
      <alignment horizontal="left"/>
    </xf>
    <xf numFmtId="43" fontId="19" fillId="0" borderId="2" xfId="1" applyFont="1" applyBorder="1" applyAlignment="1">
      <alignment horizontal="center"/>
    </xf>
    <xf numFmtId="49" fontId="22" fillId="0" borderId="0" xfId="0" applyNumberFormat="1" applyFont="1" applyAlignment="1">
      <alignment vertical="top"/>
    </xf>
    <xf numFmtId="0" fontId="22" fillId="0" borderId="0" xfId="0" applyFont="1" applyAlignment="1">
      <alignment horizontal="left" vertical="top"/>
    </xf>
    <xf numFmtId="0" fontId="16" fillId="0" borderId="3" xfId="0" applyFont="1" applyBorder="1" applyAlignment="1">
      <alignment horizontal="center" vertical="center"/>
    </xf>
    <xf numFmtId="14" fontId="22" fillId="0" borderId="0" xfId="0" applyNumberFormat="1" applyFont="1" applyAlignment="1">
      <alignment horizontal="left" vertical="center"/>
    </xf>
    <xf numFmtId="0" fontId="8" fillId="6" borderId="0" xfId="0" applyFont="1" applyFill="1" applyAlignment="1">
      <alignment horizontal="center" vertical="center"/>
    </xf>
    <xf numFmtId="0" fontId="22" fillId="0" borderId="0" xfId="0" applyFont="1" applyAlignment="1">
      <alignment horizontal="left" vertical="top" wrapText="1"/>
    </xf>
    <xf numFmtId="0" fontId="22" fillId="0" borderId="0" xfId="0" applyFont="1" applyAlignment="1">
      <alignment horizontal="left" vertical="center"/>
    </xf>
    <xf numFmtId="0" fontId="4" fillId="0" borderId="0" xfId="0" applyFont="1" applyAlignment="1">
      <alignment horizontal="center"/>
    </xf>
    <xf numFmtId="14" fontId="4" fillId="0" borderId="0" xfId="0" applyNumberFormat="1" applyFont="1" applyAlignment="1">
      <alignment horizontal="center"/>
    </xf>
    <xf numFmtId="0" fontId="5" fillId="0" borderId="0" xfId="0" quotePrefix="1" applyFont="1" applyAlignment="1">
      <alignment horizontal="left" vertical="center"/>
    </xf>
    <xf numFmtId="0" fontId="47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14" fontId="4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1" fillId="0" borderId="0" xfId="0" applyFont="1" applyAlignment="1">
      <alignment horizontal="left" vertical="center"/>
    </xf>
    <xf numFmtId="0" fontId="43" fillId="8" borderId="0" xfId="0" applyFont="1" applyFill="1" applyAlignment="1">
      <alignment horizontal="center" vertical="center"/>
    </xf>
    <xf numFmtId="0" fontId="7" fillId="0" borderId="0" xfId="0" applyFont="1" applyAlignment="1">
      <alignment horizontal="left"/>
    </xf>
    <xf numFmtId="0" fontId="0" fillId="0" borderId="0" xfId="0" applyAlignment="1">
      <alignment horizontal="center"/>
    </xf>
    <xf numFmtId="0" fontId="44" fillId="0" borderId="0" xfId="0" applyFont="1" applyAlignment="1">
      <alignment horizontal="center" vertical="center"/>
    </xf>
    <xf numFmtId="0" fontId="9" fillId="8" borderId="0" xfId="0" applyFont="1" applyFill="1" applyAlignment="1">
      <alignment horizontal="left"/>
    </xf>
    <xf numFmtId="0" fontId="45" fillId="0" borderId="0" xfId="0" applyFont="1" applyAlignment="1">
      <alignment horizontal="left"/>
    </xf>
    <xf numFmtId="0" fontId="46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9" fillId="8" borderId="0" xfId="0" applyFont="1" applyFill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left" vertical="top"/>
    </xf>
    <xf numFmtId="0" fontId="9" fillId="8" borderId="0" xfId="0" applyFont="1" applyFill="1" applyAlignment="1">
      <alignment horizontal="right" vertical="center"/>
    </xf>
    <xf numFmtId="0" fontId="54" fillId="0" borderId="0" xfId="0" applyFont="1" applyAlignment="1">
      <alignment horizontal="left" vertical="center"/>
    </xf>
    <xf numFmtId="0" fontId="52" fillId="0" borderId="0" xfId="0" applyFont="1" applyAlignment="1">
      <alignment horizontal="center" vertical="center" wrapText="1"/>
    </xf>
    <xf numFmtId="0" fontId="53" fillId="0" borderId="0" xfId="0" applyFont="1" applyAlignment="1">
      <alignment horizontal="center" vertical="center" wrapText="1"/>
    </xf>
    <xf numFmtId="43" fontId="2" fillId="0" borderId="0" xfId="1" applyFont="1" applyAlignment="1">
      <alignment horizontal="center" vertical="center"/>
    </xf>
    <xf numFmtId="0" fontId="39" fillId="0" borderId="0" xfId="0" applyFont="1" applyAlignment="1">
      <alignment horizontal="center" wrapText="1"/>
    </xf>
    <xf numFmtId="0" fontId="56" fillId="7" borderId="0" xfId="0" applyFont="1" applyFill="1" applyAlignment="1">
      <alignment horizontal="left" vertical="top"/>
    </xf>
    <xf numFmtId="0" fontId="57" fillId="8" borderId="0" xfId="0" applyFont="1" applyFill="1"/>
    <xf numFmtId="0" fontId="57" fillId="8" borderId="0" xfId="0" applyFont="1" applyFill="1" applyAlignment="1">
      <alignment horizontal="left"/>
    </xf>
    <xf numFmtId="0" fontId="55" fillId="0" borderId="0" xfId="0" applyFont="1" applyAlignment="1">
      <alignment vertical="center"/>
    </xf>
    <xf numFmtId="0" fontId="22" fillId="0" borderId="0" xfId="0" applyFont="1" applyAlignment="1">
      <alignment horizontal="center" vertical="top"/>
    </xf>
    <xf numFmtId="0" fontId="18" fillId="0" borderId="0" xfId="0" applyFont="1" applyAlignment="1">
      <alignment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microsoft.com/office/2007/relationships/hdphoto" Target="../media/hdphoto2.wdp"/><Relationship Id="rId1" Type="http://schemas.openxmlformats.org/officeDocument/2006/relationships/image" Target="../media/image5.png"/><Relationship Id="rId4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microsoft.com/office/2007/relationships/hdphoto" Target="../media/hdphoto3.wdp"/><Relationship Id="rId1" Type="http://schemas.openxmlformats.org/officeDocument/2006/relationships/image" Target="../media/image8.png"/><Relationship Id="rId5" Type="http://schemas.openxmlformats.org/officeDocument/2006/relationships/image" Target="../media/image10.png"/><Relationship Id="rId4" Type="http://schemas.microsoft.com/office/2007/relationships/hdphoto" Target="../media/hdphoto4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672351</xdr:colOff>
      <xdr:row>4</xdr:row>
      <xdr:rowOff>56027</xdr:rowOff>
    </xdr:from>
    <xdr:to>
      <xdr:col>9</xdr:col>
      <xdr:colOff>280146</xdr:colOff>
      <xdr:row>6</xdr:row>
      <xdr:rowOff>100851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37268524-8CA2-452C-BEC5-837FF0FA73C6}"/>
            </a:ext>
          </a:extLst>
        </xdr:cNvPr>
        <xdr:cNvSpPr txBox="1"/>
      </xdr:nvSpPr>
      <xdr:spPr>
        <a:xfrm>
          <a:off x="5987301" y="970427"/>
          <a:ext cx="1931895" cy="5020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2400">
              <a:solidFill>
                <a:schemeClr val="bg1"/>
              </a:solidFill>
              <a:latin typeface="Prompt" panose="00000500000000000000" pitchFamily="2" charset="-34"/>
              <a:cs typeface="Prompt" panose="00000500000000000000" pitchFamily="2" charset="-34"/>
            </a:rPr>
            <a:t>ใบเสนอราค</a:t>
          </a:r>
          <a:r>
            <a:rPr lang="th-TH" sz="2400" baseline="0">
              <a:solidFill>
                <a:schemeClr val="bg1"/>
              </a:solidFill>
              <a:latin typeface="Prompt" panose="00000500000000000000" pitchFamily="2" charset="-34"/>
              <a:cs typeface="Prompt" panose="00000500000000000000" pitchFamily="2" charset="-34"/>
            </a:rPr>
            <a:t>า</a:t>
          </a:r>
          <a:endParaRPr lang="th-TH" sz="2400">
            <a:solidFill>
              <a:schemeClr val="bg1"/>
            </a:solidFill>
            <a:latin typeface="Prompt" panose="00000500000000000000" pitchFamily="2" charset="-34"/>
            <a:cs typeface="Prompt" panose="00000500000000000000" pitchFamily="2" charset="-34"/>
          </a:endParaRPr>
        </a:p>
      </xdr:txBody>
    </xdr:sp>
    <xdr:clientData/>
  </xdr:twoCellAnchor>
  <xdr:twoCellAnchor>
    <xdr:from>
      <xdr:col>5</xdr:col>
      <xdr:colOff>11203</xdr:colOff>
      <xdr:row>1</xdr:row>
      <xdr:rowOff>22414</xdr:rowOff>
    </xdr:from>
    <xdr:to>
      <xdr:col>10</xdr:col>
      <xdr:colOff>56026</xdr:colOff>
      <xdr:row>5</xdr:row>
      <xdr:rowOff>22412</xdr:rowOff>
    </xdr:to>
    <xdr:sp macro="" textlink="">
      <xdr:nvSpPr>
        <xdr:cNvPr id="3" name="กล่องข้อความ 2">
          <a:extLst>
            <a:ext uri="{FF2B5EF4-FFF2-40B4-BE49-F238E27FC236}">
              <a16:creationId xmlns:a16="http://schemas.microsoft.com/office/drawing/2014/main" id="{C0D2AC10-F969-4840-86DA-973D96CC6BAB}"/>
            </a:ext>
          </a:extLst>
        </xdr:cNvPr>
        <xdr:cNvSpPr txBox="1"/>
      </xdr:nvSpPr>
      <xdr:spPr>
        <a:xfrm>
          <a:off x="4526053" y="251014"/>
          <a:ext cx="3711948" cy="9143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4800" b="1">
              <a:solidFill>
                <a:schemeClr val="bg1"/>
              </a:solidFill>
              <a:latin typeface="Prompt" panose="00000500000000000000" pitchFamily="2" charset="-34"/>
              <a:cs typeface="Prompt" panose="00000500000000000000" pitchFamily="2" charset="-34"/>
            </a:rPr>
            <a:t>Quotation</a:t>
          </a:r>
          <a:endParaRPr lang="th-TH" sz="4800" b="1">
            <a:solidFill>
              <a:schemeClr val="bg1"/>
            </a:solidFill>
            <a:latin typeface="Prompt" panose="00000500000000000000" pitchFamily="2" charset="-34"/>
            <a:cs typeface="Prompt" panose="00000500000000000000" pitchFamily="2" charset="-34"/>
          </a:endParaRPr>
        </a:p>
      </xdr:txBody>
    </xdr:sp>
    <xdr:clientData/>
  </xdr:twoCellAnchor>
  <xdr:twoCellAnchor>
    <xdr:from>
      <xdr:col>1</xdr:col>
      <xdr:colOff>141193</xdr:colOff>
      <xdr:row>43</xdr:row>
      <xdr:rowOff>67235</xdr:rowOff>
    </xdr:from>
    <xdr:to>
      <xdr:col>4</xdr:col>
      <xdr:colOff>672354</xdr:colOff>
      <xdr:row>49</xdr:row>
      <xdr:rowOff>134471</xdr:rowOff>
    </xdr:to>
    <xdr:sp macro="" textlink="">
      <xdr:nvSpPr>
        <xdr:cNvPr id="6" name="กล่องข้อความ 5">
          <a:extLst>
            <a:ext uri="{FF2B5EF4-FFF2-40B4-BE49-F238E27FC236}">
              <a16:creationId xmlns:a16="http://schemas.microsoft.com/office/drawing/2014/main" id="{73C289FD-D3AD-442C-8D4D-C1E33BB0E731}"/>
            </a:ext>
          </a:extLst>
        </xdr:cNvPr>
        <xdr:cNvSpPr txBox="1"/>
      </xdr:nvSpPr>
      <xdr:spPr>
        <a:xfrm>
          <a:off x="646018" y="9649385"/>
          <a:ext cx="3055286" cy="15150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1000" b="0" baseline="0">
              <a:solidFill>
                <a:srgbClr val="002060"/>
              </a:solidFill>
              <a:latin typeface="Prompt" panose="00000500000000000000" pitchFamily="2" charset="-34"/>
              <a:cs typeface="Prompt" panose="00000500000000000000" pitchFamily="2" charset="-34"/>
            </a:rPr>
            <a:t>สามารถแก้ไข ชื่อ-สกุล / ที่อยู่ / เบอร์โทร </a:t>
          </a:r>
        </a:p>
        <a:p>
          <a:r>
            <a:rPr lang="th-TH" sz="1000" b="0">
              <a:solidFill>
                <a:srgbClr val="002060"/>
              </a:solidFill>
              <a:latin typeface="Prompt" panose="00000500000000000000" pitchFamily="2" charset="-34"/>
              <a:cs typeface="Prompt" panose="00000500000000000000" pitchFamily="2" charset="-34"/>
            </a:rPr>
            <a:t>ได้เพียง 1 ครั้งเท่านั้น **ไม่สามารถแก้ไข</a:t>
          </a:r>
        </a:p>
        <a:p>
          <a:r>
            <a:rPr lang="th-TH" sz="1000" b="0">
              <a:solidFill>
                <a:srgbClr val="002060"/>
              </a:solidFill>
              <a:latin typeface="Prompt" panose="00000500000000000000" pitchFamily="2" charset="-34"/>
              <a:cs typeface="Prompt" panose="00000500000000000000" pitchFamily="2" charset="-34"/>
            </a:rPr>
            <a:t>เลขบัตรประจำตัวประชาชน และ เลขทะเบียนนิติบุคคลได้</a:t>
          </a:r>
          <a:br>
            <a:rPr lang="th-TH" sz="1000" b="0">
              <a:solidFill>
                <a:srgbClr val="002060"/>
              </a:solidFill>
              <a:latin typeface="Prompt" panose="00000500000000000000" pitchFamily="2" charset="-34"/>
              <a:cs typeface="Prompt" panose="00000500000000000000" pitchFamily="2" charset="-34"/>
            </a:rPr>
          </a:br>
          <a:r>
            <a:rPr lang="th-TH" sz="1000" b="0">
              <a:solidFill>
                <a:srgbClr val="002060"/>
              </a:solidFill>
              <a:latin typeface="Prompt" panose="00000500000000000000" pitchFamily="2" charset="-34"/>
              <a:cs typeface="Prompt" panose="00000500000000000000" pitchFamily="2" charset="-34"/>
            </a:rPr>
            <a:t>สามารถขอใบกำกับภาษีย้อนหลังและขอทำการแก้ไข</a:t>
          </a:r>
          <a:br>
            <a:rPr lang="th-TH" sz="1000" b="0">
              <a:solidFill>
                <a:srgbClr val="002060"/>
              </a:solidFill>
              <a:latin typeface="Prompt" panose="00000500000000000000" pitchFamily="2" charset="-34"/>
              <a:cs typeface="Prompt" panose="00000500000000000000" pitchFamily="2" charset="-34"/>
            </a:rPr>
          </a:br>
          <a:r>
            <a:rPr lang="th-TH" sz="1000" b="0">
              <a:solidFill>
                <a:srgbClr val="002060"/>
              </a:solidFill>
              <a:latin typeface="Prompt" panose="00000500000000000000" pitchFamily="2" charset="-34"/>
              <a:cs typeface="Prompt" panose="00000500000000000000" pitchFamily="2" charset="-34"/>
            </a:rPr>
            <a:t>ภายใน 7 วัน (นับจากวันที่ชำระเงิน)</a:t>
          </a:r>
        </a:p>
      </xdr:txBody>
    </xdr:sp>
    <xdr:clientData/>
  </xdr:twoCellAnchor>
  <xdr:twoCellAnchor>
    <xdr:from>
      <xdr:col>1</xdr:col>
      <xdr:colOff>25820</xdr:colOff>
      <xdr:row>43</xdr:row>
      <xdr:rowOff>162242</xdr:rowOff>
    </xdr:from>
    <xdr:to>
      <xdr:col>1</xdr:col>
      <xdr:colOff>137879</xdr:colOff>
      <xdr:row>44</xdr:row>
      <xdr:rowOff>117419</xdr:rowOff>
    </xdr:to>
    <xdr:sp macro="" textlink="">
      <xdr:nvSpPr>
        <xdr:cNvPr id="7" name="วงรี 6">
          <a:extLst>
            <a:ext uri="{FF2B5EF4-FFF2-40B4-BE49-F238E27FC236}">
              <a16:creationId xmlns:a16="http://schemas.microsoft.com/office/drawing/2014/main" id="{CF2542DD-3F27-4602-93FB-AC2BF4727DE2}"/>
            </a:ext>
          </a:extLst>
        </xdr:cNvPr>
        <xdr:cNvSpPr/>
      </xdr:nvSpPr>
      <xdr:spPr>
        <a:xfrm>
          <a:off x="530645" y="9744392"/>
          <a:ext cx="112059" cy="117102"/>
        </a:xfrm>
        <a:prstGeom prst="ellipse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</xdr:col>
      <xdr:colOff>20850</xdr:colOff>
      <xdr:row>46</xdr:row>
      <xdr:rowOff>99296</xdr:rowOff>
    </xdr:from>
    <xdr:to>
      <xdr:col>1</xdr:col>
      <xdr:colOff>132909</xdr:colOff>
      <xdr:row>46</xdr:row>
      <xdr:rowOff>220125</xdr:rowOff>
    </xdr:to>
    <xdr:sp macro="" textlink="">
      <xdr:nvSpPr>
        <xdr:cNvPr id="8" name="วงรี 7">
          <a:extLst>
            <a:ext uri="{FF2B5EF4-FFF2-40B4-BE49-F238E27FC236}">
              <a16:creationId xmlns:a16="http://schemas.microsoft.com/office/drawing/2014/main" id="{AED5F23E-175C-46F9-B03E-A44796AF66D1}"/>
            </a:ext>
          </a:extLst>
        </xdr:cNvPr>
        <xdr:cNvSpPr/>
      </xdr:nvSpPr>
      <xdr:spPr>
        <a:xfrm>
          <a:off x="525675" y="10300571"/>
          <a:ext cx="112059" cy="120829"/>
        </a:xfrm>
        <a:prstGeom prst="ellipse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 editAs="oneCell">
    <xdr:from>
      <xdr:col>0</xdr:col>
      <xdr:colOff>229225</xdr:colOff>
      <xdr:row>0</xdr:row>
      <xdr:rowOff>143398</xdr:rowOff>
    </xdr:from>
    <xdr:to>
      <xdr:col>3</xdr:col>
      <xdr:colOff>242831</xdr:colOff>
      <xdr:row>10</xdr:row>
      <xdr:rowOff>34540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EC79E66-3824-27D9-C44C-4CC0A8C170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9225" y="143398"/>
          <a:ext cx="2072471" cy="2030604"/>
        </a:xfrm>
        <a:prstGeom prst="rect">
          <a:avLst/>
        </a:prstGeom>
      </xdr:spPr>
    </xdr:pic>
    <xdr:clientData/>
  </xdr:twoCellAnchor>
  <xdr:twoCellAnchor editAs="oneCell">
    <xdr:from>
      <xdr:col>5</xdr:col>
      <xdr:colOff>615461</xdr:colOff>
      <xdr:row>38</xdr:row>
      <xdr:rowOff>71291</xdr:rowOff>
    </xdr:from>
    <xdr:to>
      <xdr:col>7</xdr:col>
      <xdr:colOff>586154</xdr:colOff>
      <xdr:row>41</xdr:row>
      <xdr:rowOff>35500</xdr:rowOff>
    </xdr:to>
    <xdr:pic>
      <xdr:nvPicPr>
        <xdr:cNvPr id="13" name="รูปภาพ 4">
          <a:extLst>
            <a:ext uri="{FF2B5EF4-FFF2-40B4-BE49-F238E27FC236}">
              <a16:creationId xmlns:a16="http://schemas.microsoft.com/office/drawing/2014/main" id="{1A3F3853-E682-4A9C-A93D-D0F3210D01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schemeClr val="accent1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artisticGlowEdges/>
                  </a14:imgEffect>
                  <a14:imgEffect>
                    <a14:colorTemperature colorTemp="11200"/>
                  </a14:imgEffect>
                  <a14:imgEffect>
                    <a14:brightnessContrast bright="4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36173" y="8467945"/>
          <a:ext cx="1655885" cy="64561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10</xdr:col>
      <xdr:colOff>27805</xdr:colOff>
      <xdr:row>51</xdr:row>
      <xdr:rowOff>9525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7B2C104-A7AE-075E-02DE-682549B7B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09780" cy="116109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135034</xdr:colOff>
      <xdr:row>5</xdr:row>
      <xdr:rowOff>22410</xdr:rowOff>
    </xdr:from>
    <xdr:ext cx="1398844" cy="557717"/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1FA0912E-7FB0-4D7F-9722-E93B72983440}"/>
            </a:ext>
          </a:extLst>
        </xdr:cNvPr>
        <xdr:cNvSpPr txBox="1"/>
      </xdr:nvSpPr>
      <xdr:spPr>
        <a:xfrm>
          <a:off x="2192434" y="927285"/>
          <a:ext cx="1398844" cy="557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th-TH" sz="2400" b="0">
              <a:latin typeface="Prompt" panose="00000500000000000000" pitchFamily="2" charset="-34"/>
              <a:cs typeface="Prompt" panose="00000500000000000000" pitchFamily="2" charset="-34"/>
            </a:rPr>
            <a:t>ใบแจ้งหนี้</a:t>
          </a:r>
          <a:endParaRPr lang="en-US" sz="2400" b="0">
            <a:latin typeface="Prompt" panose="00000500000000000000" pitchFamily="2" charset="-34"/>
            <a:cs typeface="Prompt" panose="00000500000000000000" pitchFamily="2" charset="-34"/>
          </a:endParaRPr>
        </a:p>
      </xdr:txBody>
    </xdr:sp>
    <xdr:clientData/>
  </xdr:oneCellAnchor>
  <xdr:twoCellAnchor>
    <xdr:from>
      <xdr:col>6</xdr:col>
      <xdr:colOff>190500</xdr:colOff>
      <xdr:row>41</xdr:row>
      <xdr:rowOff>0</xdr:rowOff>
    </xdr:from>
    <xdr:to>
      <xdr:col>9</xdr:col>
      <xdr:colOff>995242</xdr:colOff>
      <xdr:row>41</xdr:row>
      <xdr:rowOff>0</xdr:rowOff>
    </xdr:to>
    <xdr:cxnSp macro="">
      <xdr:nvCxnSpPr>
        <xdr:cNvPr id="3" name="ตัวเชื่อมต่อตรง 14">
          <a:extLst>
            <a:ext uri="{FF2B5EF4-FFF2-40B4-BE49-F238E27FC236}">
              <a16:creationId xmlns:a16="http://schemas.microsoft.com/office/drawing/2014/main" id="{6256CA72-AD02-4D44-B4D4-ED941992FACD}"/>
            </a:ext>
          </a:extLst>
        </xdr:cNvPr>
        <xdr:cNvCxnSpPr/>
      </xdr:nvCxnSpPr>
      <xdr:spPr>
        <a:xfrm>
          <a:off x="4305300" y="7419975"/>
          <a:ext cx="2557342" cy="0"/>
        </a:xfrm>
        <a:prstGeom prst="line">
          <a:avLst/>
        </a:prstGeom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6</xdr:col>
      <xdr:colOff>180975</xdr:colOff>
      <xdr:row>46</xdr:row>
      <xdr:rowOff>0</xdr:rowOff>
    </xdr:from>
    <xdr:to>
      <xdr:col>9</xdr:col>
      <xdr:colOff>985717</xdr:colOff>
      <xdr:row>46</xdr:row>
      <xdr:rowOff>0</xdr:rowOff>
    </xdr:to>
    <xdr:cxnSp macro="">
      <xdr:nvCxnSpPr>
        <xdr:cNvPr id="4" name="ตัวเชื่อมต่อตรง 15">
          <a:extLst>
            <a:ext uri="{FF2B5EF4-FFF2-40B4-BE49-F238E27FC236}">
              <a16:creationId xmlns:a16="http://schemas.microsoft.com/office/drawing/2014/main" id="{F93658A8-3812-4426-9874-86A7942E2E50}"/>
            </a:ext>
          </a:extLst>
        </xdr:cNvPr>
        <xdr:cNvCxnSpPr/>
      </xdr:nvCxnSpPr>
      <xdr:spPr>
        <a:xfrm>
          <a:off x="4295775" y="8324850"/>
          <a:ext cx="2566867" cy="0"/>
        </a:xfrm>
        <a:prstGeom prst="line">
          <a:avLst/>
        </a:prstGeom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oneCellAnchor>
    <xdr:from>
      <xdr:col>0</xdr:col>
      <xdr:colOff>482973</xdr:colOff>
      <xdr:row>39</xdr:row>
      <xdr:rowOff>123825</xdr:rowOff>
    </xdr:from>
    <xdr:ext cx="641138" cy="309572"/>
    <xdr:sp macro="" textlink="">
      <xdr:nvSpPr>
        <xdr:cNvPr id="5" name="กล่องข้อความ 16">
          <a:extLst>
            <a:ext uri="{FF2B5EF4-FFF2-40B4-BE49-F238E27FC236}">
              <a16:creationId xmlns:a16="http://schemas.microsoft.com/office/drawing/2014/main" id="{DCDE0B08-B8FB-42B8-8BE1-6442F1E1EAD1}"/>
            </a:ext>
          </a:extLst>
        </xdr:cNvPr>
        <xdr:cNvSpPr txBox="1"/>
      </xdr:nvSpPr>
      <xdr:spPr>
        <a:xfrm>
          <a:off x="482973" y="7181850"/>
          <a:ext cx="641138" cy="3095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th-TH" sz="1100">
              <a:solidFill>
                <a:schemeClr val="tx1"/>
              </a:solidFill>
              <a:latin typeface="Anakotmai Bold" panose="00000800000000000000" pitchFamily="2" charset="-34"/>
              <a:cs typeface="Anakotmai Bold" panose="00000800000000000000" pitchFamily="2" charset="-34"/>
            </a:rPr>
            <a:t>เงื่อนไข</a:t>
          </a:r>
          <a:endParaRPr lang="en-US" sz="1100">
            <a:solidFill>
              <a:schemeClr val="tx1"/>
            </a:solidFill>
            <a:latin typeface="Anakotmai Bold" panose="00000800000000000000" pitchFamily="2" charset="-34"/>
            <a:cs typeface="Anakotmai Bold" panose="00000800000000000000" pitchFamily="2" charset="-34"/>
          </a:endParaRPr>
        </a:p>
      </xdr:txBody>
    </xdr:sp>
    <xdr:clientData/>
  </xdr:oneCellAnchor>
  <xdr:twoCellAnchor>
    <xdr:from>
      <xdr:col>0</xdr:col>
      <xdr:colOff>482976</xdr:colOff>
      <xdr:row>40</xdr:row>
      <xdr:rowOff>180975</xdr:rowOff>
    </xdr:from>
    <xdr:to>
      <xdr:col>4</xdr:col>
      <xdr:colOff>1425910</xdr:colOff>
      <xdr:row>46</xdr:row>
      <xdr:rowOff>234592</xdr:rowOff>
    </xdr:to>
    <xdr:sp macro="" textlink="">
      <xdr:nvSpPr>
        <xdr:cNvPr id="6" name="กล่องข้อความ 17">
          <a:extLst>
            <a:ext uri="{FF2B5EF4-FFF2-40B4-BE49-F238E27FC236}">
              <a16:creationId xmlns:a16="http://schemas.microsoft.com/office/drawing/2014/main" id="{ACF29CDE-A748-4415-AF81-0277D6FAF2CC}"/>
            </a:ext>
          </a:extLst>
        </xdr:cNvPr>
        <xdr:cNvSpPr txBox="1"/>
      </xdr:nvSpPr>
      <xdr:spPr>
        <a:xfrm>
          <a:off x="482976" y="7419975"/>
          <a:ext cx="2943184" cy="10823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1000" b="0" baseline="0">
              <a:solidFill>
                <a:schemeClr val="tx1"/>
              </a:solidFill>
              <a:latin typeface="Prompt" panose="00000500000000000000" pitchFamily="2" charset="-34"/>
              <a:cs typeface="Prompt" panose="00000500000000000000" pitchFamily="2" charset="-34"/>
            </a:rPr>
            <a:t>สามารถแก้ไข ชื่อ-สกุล / ที่อยู่ / เบอร์โทร </a:t>
          </a:r>
        </a:p>
        <a:p>
          <a:r>
            <a:rPr lang="th-TH" sz="1000" b="0">
              <a:solidFill>
                <a:schemeClr val="tx1"/>
              </a:solidFill>
              <a:latin typeface="Prompt" panose="00000500000000000000" pitchFamily="2" charset="-34"/>
              <a:cs typeface="Prompt" panose="00000500000000000000" pitchFamily="2" charset="-34"/>
            </a:rPr>
            <a:t>ได้เพียง 1 ครั้งเท่านั้น **ไม่สามารถแก้ไข</a:t>
          </a:r>
        </a:p>
        <a:p>
          <a:r>
            <a:rPr lang="th-TH" sz="1000" b="0">
              <a:solidFill>
                <a:schemeClr val="tx1"/>
              </a:solidFill>
              <a:latin typeface="Prompt" panose="00000500000000000000" pitchFamily="2" charset="-34"/>
              <a:cs typeface="Prompt" panose="00000500000000000000" pitchFamily="2" charset="-34"/>
            </a:rPr>
            <a:t>เลขบัตรประจำตัวประชาชน และ เลขทะเบียนนิติบุคคลได้</a:t>
          </a:r>
          <a:br>
            <a:rPr lang="th-TH" sz="1000" b="0">
              <a:solidFill>
                <a:schemeClr val="tx1"/>
              </a:solidFill>
              <a:latin typeface="Prompt" panose="00000500000000000000" pitchFamily="2" charset="-34"/>
              <a:cs typeface="Prompt" panose="00000500000000000000" pitchFamily="2" charset="-34"/>
            </a:rPr>
          </a:br>
          <a:r>
            <a:rPr lang="th-TH" sz="1000" b="0">
              <a:solidFill>
                <a:schemeClr val="tx1"/>
              </a:solidFill>
              <a:latin typeface="Prompt" panose="00000500000000000000" pitchFamily="2" charset="-34"/>
              <a:cs typeface="Prompt" panose="00000500000000000000" pitchFamily="2" charset="-34"/>
            </a:rPr>
            <a:t>สามารถขอใบกำกับภาษีย้อนหลังและขอทำการแก้ไข</a:t>
          </a:r>
          <a:br>
            <a:rPr lang="th-TH" sz="1000" b="0">
              <a:solidFill>
                <a:schemeClr val="tx1"/>
              </a:solidFill>
              <a:latin typeface="Prompt" panose="00000500000000000000" pitchFamily="2" charset="-34"/>
              <a:cs typeface="Prompt" panose="00000500000000000000" pitchFamily="2" charset="-34"/>
            </a:rPr>
          </a:br>
          <a:r>
            <a:rPr lang="th-TH" sz="1000" b="0">
              <a:solidFill>
                <a:schemeClr val="tx1"/>
              </a:solidFill>
              <a:latin typeface="Prompt" panose="00000500000000000000" pitchFamily="2" charset="-34"/>
              <a:cs typeface="Prompt" panose="00000500000000000000" pitchFamily="2" charset="-34"/>
            </a:rPr>
            <a:t>ภายใน 7 วัน (นับจากวันที่ชำระเงิน)</a:t>
          </a:r>
        </a:p>
      </xdr:txBody>
    </xdr:sp>
    <xdr:clientData/>
  </xdr:twoCellAnchor>
  <xdr:oneCellAnchor>
    <xdr:from>
      <xdr:col>7</xdr:col>
      <xdr:colOff>624728</xdr:colOff>
      <xdr:row>37</xdr:row>
      <xdr:rowOff>66114</xdr:rowOff>
    </xdr:from>
    <xdr:ext cx="1627776" cy="822001"/>
    <xdr:pic>
      <xdr:nvPicPr>
        <xdr:cNvPr id="7" name="รูปภาพ 2">
          <a:extLst>
            <a:ext uri="{FF2B5EF4-FFF2-40B4-BE49-F238E27FC236}">
              <a16:creationId xmlns:a16="http://schemas.microsoft.com/office/drawing/2014/main" id="{587110E2-BFAD-46E0-AFB3-F1DA838A23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-50000"/>
                  </a14:imgEffect>
                  <a14:imgEffect>
                    <a14:saturation sat="2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54405">
          <a:off x="6587378" y="7552764"/>
          <a:ext cx="1627776" cy="822001"/>
        </a:xfrm>
        <a:prstGeom prst="rect">
          <a:avLst/>
        </a:prstGeom>
      </xdr:spPr>
    </xdr:pic>
    <xdr:clientData/>
  </xdr:oneCellAnchor>
  <xdr:twoCellAnchor>
    <xdr:from>
      <xdr:col>4</xdr:col>
      <xdr:colOff>1479176</xdr:colOff>
      <xdr:row>4</xdr:row>
      <xdr:rowOff>98816</xdr:rowOff>
    </xdr:from>
    <xdr:to>
      <xdr:col>8</xdr:col>
      <xdr:colOff>543994</xdr:colOff>
      <xdr:row>10</xdr:row>
      <xdr:rowOff>150771</xdr:rowOff>
    </xdr:to>
    <xdr:sp macro="" textlink="">
      <xdr:nvSpPr>
        <xdr:cNvPr id="8" name="กล่องข้อความ 6">
          <a:extLst>
            <a:ext uri="{FF2B5EF4-FFF2-40B4-BE49-F238E27FC236}">
              <a16:creationId xmlns:a16="http://schemas.microsoft.com/office/drawing/2014/main" id="{8DEBDDE4-3DE9-45C1-A32F-1FEAA85730F4}"/>
            </a:ext>
          </a:extLst>
        </xdr:cNvPr>
        <xdr:cNvSpPr txBox="1"/>
      </xdr:nvSpPr>
      <xdr:spPr>
        <a:xfrm>
          <a:off x="3431801" y="822716"/>
          <a:ext cx="2598593" cy="11378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r" rtl="0"/>
          <a:r>
            <a:rPr lang="en-US" sz="1000" b="0" i="0">
              <a:solidFill>
                <a:schemeClr val="dk1"/>
              </a:solidFill>
              <a:effectLst/>
              <a:latin typeface="Prompt" panose="00000500000000000000" pitchFamily="2" charset="-34"/>
              <a:ea typeface="+mn-ea"/>
              <a:cs typeface="Prompt" panose="00000500000000000000" pitchFamily="2" charset="-34"/>
            </a:rPr>
            <a:t>511/18-19 Suk Sathit Road, Wiang,</a:t>
          </a:r>
        </a:p>
        <a:p>
          <a:pPr algn="r" rtl="0"/>
          <a:r>
            <a:rPr lang="en-US" sz="1000" b="0" i="0">
              <a:solidFill>
                <a:schemeClr val="dk1"/>
              </a:solidFill>
              <a:effectLst/>
              <a:latin typeface="Prompt" panose="00000500000000000000" pitchFamily="2" charset="-34"/>
              <a:ea typeface="+mn-ea"/>
              <a:cs typeface="Prompt" panose="00000500000000000000" pitchFamily="2" charset="-34"/>
            </a:rPr>
            <a:t>Mueangchiangrai , Chiangrai </a:t>
          </a:r>
        </a:p>
        <a:p>
          <a:pPr algn="r" rtl="0"/>
          <a:r>
            <a:rPr lang="en-US" sz="1000" b="0" i="0">
              <a:solidFill>
                <a:schemeClr val="dk1"/>
              </a:solidFill>
              <a:effectLst/>
              <a:latin typeface="Prompt" panose="00000500000000000000" pitchFamily="2" charset="-34"/>
              <a:ea typeface="+mn-ea"/>
              <a:cs typeface="Prompt" panose="00000500000000000000" pitchFamily="2" charset="-34"/>
            </a:rPr>
            <a:t>Province 57000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th-TH" sz="800" b="1">
            <a:solidFill>
              <a:schemeClr val="tx1"/>
            </a:solidFill>
            <a:latin typeface="Prompt" panose="00000500000000000000" pitchFamily="2" charset="-34"/>
            <a:cs typeface="Prompt" panose="00000500000000000000" pitchFamily="2" charset="-34"/>
          </a:endParaRPr>
        </a:p>
      </xdr:txBody>
    </xdr:sp>
    <xdr:clientData/>
  </xdr:twoCellAnchor>
  <xdr:oneCellAnchor>
    <xdr:from>
      <xdr:col>1</xdr:col>
      <xdr:colOff>265021</xdr:colOff>
      <xdr:row>1</xdr:row>
      <xdr:rowOff>51547</xdr:rowOff>
    </xdr:from>
    <xdr:ext cx="3029508" cy="1023037"/>
    <xdr:sp macro="" textlink="">
      <xdr:nvSpPr>
        <xdr:cNvPr id="10" name="กล่องข้อความ 1">
          <a:extLst>
            <a:ext uri="{FF2B5EF4-FFF2-40B4-BE49-F238E27FC236}">
              <a16:creationId xmlns:a16="http://schemas.microsoft.com/office/drawing/2014/main" id="{D1A69F29-8EC9-457D-8D34-56771A2E5643}"/>
            </a:ext>
          </a:extLst>
        </xdr:cNvPr>
        <xdr:cNvSpPr txBox="1"/>
      </xdr:nvSpPr>
      <xdr:spPr>
        <a:xfrm>
          <a:off x="950821" y="232522"/>
          <a:ext cx="3029508" cy="10230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4800" b="1">
              <a:latin typeface="Prompt" panose="00000500000000000000" pitchFamily="2" charset="-34"/>
              <a:cs typeface="Prompt" panose="00000500000000000000" pitchFamily="2" charset="-34"/>
            </a:rPr>
            <a:t>INVOICE</a:t>
          </a:r>
        </a:p>
      </xdr:txBody>
    </xdr:sp>
    <xdr:clientData/>
  </xdr:oneCellAnchor>
  <xdr:oneCellAnchor>
    <xdr:from>
      <xdr:col>5</xdr:col>
      <xdr:colOff>268938</xdr:colOff>
      <xdr:row>2</xdr:row>
      <xdr:rowOff>123263</xdr:rowOff>
    </xdr:from>
    <xdr:ext cx="2510119" cy="712759"/>
    <xdr:sp macro="" textlink="">
      <xdr:nvSpPr>
        <xdr:cNvPr id="11" name="กล่องข้อความ 1">
          <a:extLst>
            <a:ext uri="{FF2B5EF4-FFF2-40B4-BE49-F238E27FC236}">
              <a16:creationId xmlns:a16="http://schemas.microsoft.com/office/drawing/2014/main" id="{B1930450-F593-472C-A374-99D65F8B3581}"/>
            </a:ext>
          </a:extLst>
        </xdr:cNvPr>
        <xdr:cNvSpPr txBox="1"/>
      </xdr:nvSpPr>
      <xdr:spPr>
        <a:xfrm>
          <a:off x="4850463" y="485213"/>
          <a:ext cx="2510119" cy="7127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r"/>
          <a:r>
            <a:rPr lang="en-US" sz="1600" b="1">
              <a:latin typeface="Prompt" panose="00000500000000000000" pitchFamily="2" charset="-34"/>
              <a:cs typeface="Prompt" panose="00000500000000000000" pitchFamily="2" charset="-34"/>
            </a:rPr>
            <a:t>WINNER CHIANGRAI COMPANY LIMITED</a:t>
          </a:r>
        </a:p>
      </xdr:txBody>
    </xdr:sp>
    <xdr:clientData/>
  </xdr:oneCellAnchor>
  <xdr:twoCellAnchor editAs="oneCell">
    <xdr:from>
      <xdr:col>8</xdr:col>
      <xdr:colOff>609600</xdr:colOff>
      <xdr:row>2</xdr:row>
      <xdr:rowOff>161925</xdr:rowOff>
    </xdr:from>
    <xdr:to>
      <xdr:col>10</xdr:col>
      <xdr:colOff>238125</xdr:colOff>
      <xdr:row>12</xdr:row>
      <xdr:rowOff>133350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6BC77DF-067C-FF28-3F42-D5A7003FB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00925" y="523875"/>
          <a:ext cx="1857375" cy="18573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11</xdr:col>
      <xdr:colOff>47625</xdr:colOff>
      <xdr:row>52</xdr:row>
      <xdr:rowOff>33058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E0CA154C-2A2F-6599-0D41-9C9CB6B29B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601200" cy="1242508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453838</xdr:colOff>
      <xdr:row>33</xdr:row>
      <xdr:rowOff>219075</xdr:rowOff>
    </xdr:from>
    <xdr:to>
      <xdr:col>5</xdr:col>
      <xdr:colOff>684078</xdr:colOff>
      <xdr:row>41</xdr:row>
      <xdr:rowOff>101242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D818803D-0D23-471A-908D-B7218EF007D4}"/>
            </a:ext>
          </a:extLst>
        </xdr:cNvPr>
        <xdr:cNvSpPr txBox="1"/>
      </xdr:nvSpPr>
      <xdr:spPr>
        <a:xfrm>
          <a:off x="1139638" y="6153150"/>
          <a:ext cx="2973440" cy="13680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1000" b="0" baseline="0">
              <a:solidFill>
                <a:schemeClr val="tx1"/>
              </a:solidFill>
              <a:latin typeface="Prompt" panose="00000500000000000000" pitchFamily="2" charset="-34"/>
              <a:cs typeface="Prompt" panose="00000500000000000000" pitchFamily="2" charset="-34"/>
            </a:rPr>
            <a:t>สามารถแก้ไข ชื่อ-สกุล / ที่อยู่ / เบอร์โทร </a:t>
          </a:r>
        </a:p>
        <a:p>
          <a:r>
            <a:rPr lang="th-TH" sz="1000" b="0">
              <a:solidFill>
                <a:schemeClr val="tx1"/>
              </a:solidFill>
              <a:latin typeface="Prompt" panose="00000500000000000000" pitchFamily="2" charset="-34"/>
              <a:cs typeface="Prompt" panose="00000500000000000000" pitchFamily="2" charset="-34"/>
            </a:rPr>
            <a:t>ได้เพียง 1 ครั้งเท่านั้น **ไม่สามารถแก้ไข</a:t>
          </a:r>
        </a:p>
        <a:p>
          <a:r>
            <a:rPr lang="th-TH" sz="1000" b="0">
              <a:solidFill>
                <a:schemeClr val="tx1"/>
              </a:solidFill>
              <a:latin typeface="Prompt" panose="00000500000000000000" pitchFamily="2" charset="-34"/>
              <a:cs typeface="Prompt" panose="00000500000000000000" pitchFamily="2" charset="-34"/>
            </a:rPr>
            <a:t>เลขบัตรประจำตัวประชาชน และ เลขทะเบียนนิติบุคคลได้</a:t>
          </a:r>
          <a:br>
            <a:rPr lang="th-TH" sz="1000" b="0">
              <a:solidFill>
                <a:schemeClr val="tx1"/>
              </a:solidFill>
              <a:latin typeface="Prompt" panose="00000500000000000000" pitchFamily="2" charset="-34"/>
              <a:cs typeface="Prompt" panose="00000500000000000000" pitchFamily="2" charset="-34"/>
            </a:rPr>
          </a:br>
          <a:r>
            <a:rPr lang="th-TH" sz="1000" b="0">
              <a:solidFill>
                <a:schemeClr val="tx1"/>
              </a:solidFill>
              <a:latin typeface="Prompt" panose="00000500000000000000" pitchFamily="2" charset="-34"/>
              <a:cs typeface="Prompt" panose="00000500000000000000" pitchFamily="2" charset="-34"/>
            </a:rPr>
            <a:t>สามารถขอใบกำกับภาษีย้อนหลังและขอทำการแก้ไข</a:t>
          </a:r>
          <a:br>
            <a:rPr lang="th-TH" sz="1000" b="0">
              <a:solidFill>
                <a:schemeClr val="tx1"/>
              </a:solidFill>
              <a:latin typeface="Prompt" panose="00000500000000000000" pitchFamily="2" charset="-34"/>
              <a:cs typeface="Prompt" panose="00000500000000000000" pitchFamily="2" charset="-34"/>
            </a:rPr>
          </a:br>
          <a:r>
            <a:rPr lang="th-TH" sz="1000" b="0">
              <a:solidFill>
                <a:schemeClr val="tx1"/>
              </a:solidFill>
              <a:latin typeface="Prompt" panose="00000500000000000000" pitchFamily="2" charset="-34"/>
              <a:cs typeface="Prompt" panose="00000500000000000000" pitchFamily="2" charset="-34"/>
            </a:rPr>
            <a:t>ภายใน 7 วัน (นับจากวันที่ชำระเงิน)</a:t>
          </a:r>
        </a:p>
      </xdr:txBody>
    </xdr:sp>
    <xdr:clientData/>
  </xdr:twoCellAnchor>
  <xdr:twoCellAnchor>
    <xdr:from>
      <xdr:col>1</xdr:col>
      <xdr:colOff>46904</xdr:colOff>
      <xdr:row>1</xdr:row>
      <xdr:rowOff>201385</xdr:rowOff>
    </xdr:from>
    <xdr:to>
      <xdr:col>8</xdr:col>
      <xdr:colOff>238685</xdr:colOff>
      <xdr:row>3</xdr:row>
      <xdr:rowOff>219075</xdr:rowOff>
    </xdr:to>
    <xdr:sp macro="" textlink="">
      <xdr:nvSpPr>
        <xdr:cNvPr id="3" name="กล่องข้อความ 2">
          <a:extLst>
            <a:ext uri="{FF2B5EF4-FFF2-40B4-BE49-F238E27FC236}">
              <a16:creationId xmlns:a16="http://schemas.microsoft.com/office/drawing/2014/main" id="{DC39E539-F224-4922-98A6-AD6E58F2CF0C}"/>
            </a:ext>
          </a:extLst>
        </xdr:cNvPr>
        <xdr:cNvSpPr txBox="1"/>
      </xdr:nvSpPr>
      <xdr:spPr>
        <a:xfrm>
          <a:off x="732704" y="363310"/>
          <a:ext cx="4992381" cy="3605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3300">
              <a:solidFill>
                <a:schemeClr val="accent2">
                  <a:lumMod val="75000"/>
                </a:schemeClr>
              </a:solidFill>
              <a:latin typeface="Prompt" panose="00000500000000000000" pitchFamily="2" charset="-34"/>
              <a:cs typeface="Prompt" panose="00000500000000000000" pitchFamily="2" charset="-34"/>
            </a:rPr>
            <a:t>ใบกำกับภาษี/ใบเสร็จรับเงิน</a:t>
          </a:r>
        </a:p>
      </xdr:txBody>
    </xdr:sp>
    <xdr:clientData/>
  </xdr:twoCellAnchor>
  <xdr:twoCellAnchor>
    <xdr:from>
      <xdr:col>1</xdr:col>
      <xdr:colOff>38097</xdr:colOff>
      <xdr:row>2</xdr:row>
      <xdr:rowOff>304800</xdr:rowOff>
    </xdr:from>
    <xdr:to>
      <xdr:col>8</xdr:col>
      <xdr:colOff>628651</xdr:colOff>
      <xdr:row>6</xdr:row>
      <xdr:rowOff>47625</xdr:rowOff>
    </xdr:to>
    <xdr:sp macro="" textlink="">
      <xdr:nvSpPr>
        <xdr:cNvPr id="4" name="กล่องข้อความ 3">
          <a:extLst>
            <a:ext uri="{FF2B5EF4-FFF2-40B4-BE49-F238E27FC236}">
              <a16:creationId xmlns:a16="http://schemas.microsoft.com/office/drawing/2014/main" id="{27B5667A-C5A3-4BD6-AEC4-FA3D5B0F0254}"/>
            </a:ext>
          </a:extLst>
        </xdr:cNvPr>
        <xdr:cNvSpPr txBox="1"/>
      </xdr:nvSpPr>
      <xdr:spPr>
        <a:xfrm>
          <a:off x="723897" y="542925"/>
          <a:ext cx="5391154" cy="590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>
              <a:solidFill>
                <a:schemeClr val="accent2">
                  <a:lumMod val="75000"/>
                </a:schemeClr>
              </a:solidFill>
              <a:effectLst/>
              <a:latin typeface="Prompt" panose="00000500000000000000" pitchFamily="2" charset="-34"/>
              <a:ea typeface="+mn-ea"/>
              <a:cs typeface="Prompt" panose="00000500000000000000" pitchFamily="2" charset="-34"/>
            </a:rPr>
            <a:t>RECEIPT/</a:t>
          </a:r>
          <a:r>
            <a:rPr lang="en-US" sz="4000" b="1" baseline="0">
              <a:solidFill>
                <a:schemeClr val="accent2">
                  <a:lumMod val="75000"/>
                </a:schemeClr>
              </a:solidFill>
              <a:effectLst/>
              <a:latin typeface="Prompt" panose="00000500000000000000" pitchFamily="2" charset="-34"/>
              <a:ea typeface="+mn-ea"/>
              <a:cs typeface="Prompt" panose="00000500000000000000" pitchFamily="2" charset="-34"/>
            </a:rPr>
            <a:t>TAX INVOICE</a:t>
          </a:r>
          <a:endParaRPr lang="th-TH" sz="4000" b="1">
            <a:solidFill>
              <a:schemeClr val="accent2">
                <a:lumMod val="75000"/>
              </a:schemeClr>
            </a:solidFill>
            <a:effectLst/>
            <a:latin typeface="Prompt" panose="00000500000000000000" pitchFamily="2" charset="-34"/>
            <a:cs typeface="Prompt" panose="00000500000000000000" pitchFamily="2" charset="-34"/>
          </a:endParaRPr>
        </a:p>
        <a:p>
          <a:endParaRPr lang="th-TH" sz="4000">
            <a:solidFill>
              <a:schemeClr val="accent2">
                <a:lumMod val="75000"/>
              </a:schemeClr>
            </a:solidFill>
            <a:latin typeface="Prompt" panose="00000500000000000000" pitchFamily="2" charset="-34"/>
            <a:cs typeface="Prompt" panose="00000500000000000000" pitchFamily="2" charset="-34"/>
          </a:endParaRPr>
        </a:p>
      </xdr:txBody>
    </xdr:sp>
    <xdr:clientData/>
  </xdr:twoCellAnchor>
  <xdr:twoCellAnchor>
    <xdr:from>
      <xdr:col>2</xdr:col>
      <xdr:colOff>0</xdr:colOff>
      <xdr:row>27</xdr:row>
      <xdr:rowOff>0</xdr:rowOff>
    </xdr:from>
    <xdr:to>
      <xdr:col>9</xdr:col>
      <xdr:colOff>9525</xdr:colOff>
      <xdr:row>27</xdr:row>
      <xdr:rowOff>0</xdr:rowOff>
    </xdr:to>
    <xdr:cxnSp macro="">
      <xdr:nvCxnSpPr>
        <xdr:cNvPr id="5" name="ตัวเชื่อมต่อตรง 6">
          <a:extLst>
            <a:ext uri="{FF2B5EF4-FFF2-40B4-BE49-F238E27FC236}">
              <a16:creationId xmlns:a16="http://schemas.microsoft.com/office/drawing/2014/main" id="{ED30778C-148D-43F4-90AE-FC47337BD901}"/>
            </a:ext>
          </a:extLst>
        </xdr:cNvPr>
        <xdr:cNvCxnSpPr/>
      </xdr:nvCxnSpPr>
      <xdr:spPr>
        <a:xfrm flipH="1">
          <a:off x="1371600" y="4886325"/>
          <a:ext cx="4810125" cy="0"/>
        </a:xfrm>
        <a:prstGeom prst="line">
          <a:avLst/>
        </a:prstGeom>
        <a:ln>
          <a:solidFill>
            <a:schemeClr val="accent1">
              <a:lumMod val="60000"/>
              <a:lumOff val="4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600075</xdr:colOff>
      <xdr:row>43</xdr:row>
      <xdr:rowOff>51920</xdr:rowOff>
    </xdr:from>
    <xdr:ext cx="1321254" cy="761787"/>
    <xdr:pic>
      <xdr:nvPicPr>
        <xdr:cNvPr id="6" name="รูปภาพ 9">
          <a:extLst>
            <a:ext uri="{FF2B5EF4-FFF2-40B4-BE49-F238E27FC236}">
              <a16:creationId xmlns:a16="http://schemas.microsoft.com/office/drawing/2014/main" id="{593D26F5-8AA8-4231-A9E1-74D7F58683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14875" y="7833845"/>
          <a:ext cx="1321254" cy="7617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78441</xdr:colOff>
      <xdr:row>42</xdr:row>
      <xdr:rowOff>11205</xdr:rowOff>
    </xdr:from>
    <xdr:ext cx="1655670" cy="844633"/>
    <xdr:pic>
      <xdr:nvPicPr>
        <xdr:cNvPr id="7" name="รูปภาพ 5">
          <a:extLst>
            <a:ext uri="{FF2B5EF4-FFF2-40B4-BE49-F238E27FC236}">
              <a16:creationId xmlns:a16="http://schemas.microsoft.com/office/drawing/2014/main" id="{8E432E70-DD97-4DD2-AE2D-2F5A0AA46A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sharpenSoften amount="-50000"/>
                  </a14:imgEffect>
                  <a14:imgEffect>
                    <a14:saturation sat="2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406">
          <a:off x="2135841" y="7612155"/>
          <a:ext cx="1655670" cy="844633"/>
        </a:xfrm>
        <a:prstGeom prst="rect">
          <a:avLst/>
        </a:prstGeom>
      </xdr:spPr>
    </xdr:pic>
    <xdr:clientData/>
  </xdr:oneCellAnchor>
  <xdr:twoCellAnchor>
    <xdr:from>
      <xdr:col>1</xdr:col>
      <xdr:colOff>56429</xdr:colOff>
      <xdr:row>5</xdr:row>
      <xdr:rowOff>115659</xdr:rowOff>
    </xdr:from>
    <xdr:to>
      <xdr:col>8</xdr:col>
      <xdr:colOff>47625</xdr:colOff>
      <xdr:row>7</xdr:row>
      <xdr:rowOff>276224</xdr:rowOff>
    </xdr:to>
    <xdr:sp macro="" textlink="">
      <xdr:nvSpPr>
        <xdr:cNvPr id="9" name="กล่องข้อความ 2">
          <a:extLst>
            <a:ext uri="{FF2B5EF4-FFF2-40B4-BE49-F238E27FC236}">
              <a16:creationId xmlns:a16="http://schemas.microsoft.com/office/drawing/2014/main" id="{7DD08030-3787-4C9C-BD2D-B0835E4BAE5A}"/>
            </a:ext>
          </a:extLst>
        </xdr:cNvPr>
        <xdr:cNvSpPr txBox="1"/>
      </xdr:nvSpPr>
      <xdr:spPr>
        <a:xfrm>
          <a:off x="742229" y="1020534"/>
          <a:ext cx="4791796" cy="4272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>
              <a:solidFill>
                <a:schemeClr val="accent2">
                  <a:lumMod val="75000"/>
                </a:schemeClr>
              </a:solidFill>
            </a:rPr>
            <a:t>WINNER CHIANGRAI COMPANY LIMITED</a:t>
          </a:r>
          <a:br>
            <a:rPr lang="en-US" sz="1100">
              <a:solidFill>
                <a:schemeClr val="accent2">
                  <a:lumMod val="75000"/>
                </a:schemeClr>
              </a:solidFill>
              <a:latin typeface="Prompt" panose="00000500000000000000" pitchFamily="2" charset="-34"/>
              <a:cs typeface="Prompt" panose="00000500000000000000" pitchFamily="2" charset="-34"/>
            </a:rPr>
          </a:br>
          <a:r>
            <a:rPr lang="en-US" sz="800">
              <a:solidFill>
                <a:schemeClr val="accent2">
                  <a:lumMod val="75000"/>
                </a:schemeClr>
              </a:solidFill>
            </a:rPr>
            <a:t>511/18-19 Suk Sathit Road, Wiang , Mueangchiangrai , Chiangrai 57000</a:t>
          </a:r>
          <a:br>
            <a:rPr lang="en-US" sz="800">
              <a:solidFill>
                <a:schemeClr val="accent2">
                  <a:lumMod val="75000"/>
                </a:schemeClr>
              </a:solidFill>
              <a:latin typeface="Prompt" panose="00000500000000000000" pitchFamily="2" charset="-34"/>
              <a:cs typeface="Prompt" panose="00000500000000000000" pitchFamily="2" charset="-34"/>
            </a:rPr>
          </a:br>
          <a:r>
            <a:rPr lang="en-US" sz="800">
              <a:solidFill>
                <a:schemeClr val="accent2">
                  <a:lumMod val="75000"/>
                </a:schemeClr>
              </a:solidFill>
              <a:latin typeface="Prompt" panose="00000500000000000000" pitchFamily="2" charset="-34"/>
              <a:cs typeface="Prompt" panose="00000500000000000000" pitchFamily="2" charset="-34"/>
            </a:rPr>
            <a:t>tax id : </a:t>
          </a:r>
          <a:r>
            <a:rPr lang="th-TH" sz="800">
              <a:solidFill>
                <a:schemeClr val="accent2">
                  <a:lumMod val="75000"/>
                </a:schemeClr>
              </a:solidFill>
            </a:rPr>
            <a:t>0575554000024</a:t>
          </a:r>
          <a:endParaRPr lang="th-TH" sz="800">
            <a:solidFill>
              <a:schemeClr val="accent2">
                <a:lumMod val="75000"/>
              </a:schemeClr>
            </a:solidFill>
            <a:latin typeface="Prompt" panose="00000500000000000000" pitchFamily="2" charset="-34"/>
            <a:cs typeface="Prompt" panose="00000500000000000000" pitchFamily="2" charset="-34"/>
          </a:endParaRPr>
        </a:p>
      </xdr:txBody>
    </xdr:sp>
    <xdr:clientData/>
  </xdr:twoCellAnchor>
  <xdr:twoCellAnchor editAs="oneCell">
    <xdr:from>
      <xdr:col>0</xdr:col>
      <xdr:colOff>1</xdr:colOff>
      <xdr:row>0</xdr:row>
      <xdr:rowOff>0</xdr:rowOff>
    </xdr:from>
    <xdr:to>
      <xdr:col>11</xdr:col>
      <xdr:colOff>38100</xdr:colOff>
      <xdr:row>57</xdr:row>
      <xdr:rowOff>94519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32A84FC6-1D95-DA7B-2FC3-19870552B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8543924" cy="136200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F193C-3A92-4205-B1DA-1838484C0A6A}">
  <sheetPr>
    <tabColor theme="7" tint="0.59999389629810485"/>
    <pageSetUpPr fitToPage="1"/>
  </sheetPr>
  <dimension ref="A1:O52"/>
  <sheetViews>
    <sheetView view="pageBreakPreview" zoomScaleNormal="100" zoomScaleSheetLayoutView="100" workbookViewId="0">
      <selection activeCell="C24" sqref="C24:E24"/>
    </sheetView>
  </sheetViews>
  <sheetFormatPr defaultRowHeight="18" x14ac:dyDescent="0.2"/>
  <cols>
    <col min="1" max="1" width="6.625" style="1" customWidth="1"/>
    <col min="2" max="2" width="6.375" style="1" customWidth="1"/>
    <col min="3" max="3" width="14" style="1" customWidth="1"/>
    <col min="4" max="4" width="12.75" style="1" customWidth="1"/>
    <col min="5" max="5" width="19.5" style="1" customWidth="1"/>
    <col min="6" max="6" width="10.5" style="1" customWidth="1"/>
    <col min="7" max="7" width="11.625" style="1" customWidth="1"/>
    <col min="8" max="8" width="8.375" style="1" customWidth="1"/>
    <col min="9" max="9" width="10.5" style="1" customWidth="1"/>
    <col min="10" max="10" width="7.125" style="1" customWidth="1"/>
    <col min="11" max="16384" width="9" style="1"/>
  </cols>
  <sheetData>
    <row r="1" spans="1:10" ht="18" customHeight="1" x14ac:dyDescent="0.2">
      <c r="A1" s="138"/>
      <c r="B1" s="138"/>
      <c r="C1" s="138"/>
      <c r="D1" s="138"/>
      <c r="E1" s="138"/>
      <c r="F1" s="81"/>
      <c r="G1" s="81"/>
      <c r="H1" s="81"/>
      <c r="I1" s="81"/>
      <c r="J1" s="81"/>
    </row>
    <row r="2" spans="1:10" ht="18" customHeight="1" x14ac:dyDescent="0.2">
      <c r="A2" s="138"/>
      <c r="B2" s="138"/>
      <c r="C2" s="138"/>
      <c r="D2" s="138"/>
      <c r="E2" s="138"/>
      <c r="F2" s="81"/>
      <c r="G2" s="81"/>
      <c r="H2" s="81"/>
      <c r="I2" s="81"/>
      <c r="J2" s="81"/>
    </row>
    <row r="3" spans="1:10" ht="18" customHeight="1" x14ac:dyDescent="0.2">
      <c r="A3" s="138"/>
      <c r="B3" s="138"/>
      <c r="C3" s="138"/>
      <c r="D3" s="138"/>
      <c r="E3" s="138"/>
      <c r="F3" s="81"/>
      <c r="G3" s="81"/>
      <c r="H3" s="81"/>
      <c r="I3" s="81"/>
      <c r="J3" s="81"/>
    </row>
    <row r="4" spans="1:10" ht="18" customHeight="1" x14ac:dyDescent="0.2">
      <c r="A4" s="138"/>
      <c r="B4" s="138"/>
      <c r="C4" s="138"/>
      <c r="D4" s="138"/>
      <c r="E4" s="138"/>
      <c r="F4" s="81"/>
      <c r="G4" s="81"/>
      <c r="H4" s="81"/>
      <c r="I4" s="81"/>
      <c r="J4" s="81"/>
    </row>
    <row r="5" spans="1:10" x14ac:dyDescent="0.2">
      <c r="A5" s="81"/>
      <c r="B5" s="81"/>
      <c r="C5" s="81"/>
      <c r="D5" s="81"/>
      <c r="E5" s="81"/>
      <c r="F5" s="81"/>
      <c r="G5" s="81"/>
      <c r="H5" s="81"/>
      <c r="I5" s="81"/>
      <c r="J5" s="81"/>
    </row>
    <row r="6" spans="1:10" x14ac:dyDescent="0.2">
      <c r="A6" s="81"/>
      <c r="B6" s="81"/>
      <c r="C6" s="81"/>
      <c r="D6" s="81"/>
      <c r="E6" s="81"/>
      <c r="F6" s="81"/>
      <c r="G6" s="81"/>
      <c r="H6" s="81"/>
      <c r="I6" s="81"/>
      <c r="J6" s="81"/>
    </row>
    <row r="7" spans="1:10" x14ac:dyDescent="0.2">
      <c r="A7" s="81"/>
      <c r="B7" s="81"/>
      <c r="C7" s="81"/>
      <c r="D7" s="81"/>
      <c r="E7" s="81"/>
      <c r="F7" s="81"/>
      <c r="G7" s="81"/>
      <c r="H7" s="81"/>
      <c r="I7" s="81"/>
      <c r="J7" s="81"/>
    </row>
    <row r="8" spans="1:10" ht="9.75" customHeight="1" x14ac:dyDescent="0.2"/>
    <row r="9" spans="1:10" ht="15.75" customHeight="1" x14ac:dyDescent="0.2">
      <c r="B9" s="102" t="s">
        <v>0</v>
      </c>
      <c r="C9" s="139" t="s">
        <v>74</v>
      </c>
      <c r="D9" s="139"/>
      <c r="E9" s="139"/>
      <c r="F9" s="139"/>
      <c r="G9" s="102" t="s">
        <v>1</v>
      </c>
      <c r="H9" s="140" t="s">
        <v>83</v>
      </c>
      <c r="I9" s="140"/>
      <c r="J9" s="140"/>
    </row>
    <row r="10" spans="1:10" ht="18" customHeight="1" x14ac:dyDescent="0.2">
      <c r="B10" s="102" t="s">
        <v>4</v>
      </c>
      <c r="C10" s="139" t="s">
        <v>75</v>
      </c>
      <c r="D10" s="139"/>
      <c r="E10" s="139"/>
      <c r="F10" s="139"/>
      <c r="G10" s="102" t="s">
        <v>2</v>
      </c>
      <c r="H10" s="137">
        <v>244633</v>
      </c>
      <c r="I10" s="137"/>
      <c r="J10" s="137"/>
    </row>
    <row r="11" spans="1:10" ht="15.75" customHeight="1" x14ac:dyDescent="0.2">
      <c r="B11" s="170"/>
      <c r="C11" s="135" t="s">
        <v>76</v>
      </c>
      <c r="D11" s="135"/>
      <c r="E11" s="135"/>
      <c r="F11" s="135"/>
      <c r="G11" s="102" t="s">
        <v>3</v>
      </c>
      <c r="H11" s="137">
        <v>244639</v>
      </c>
      <c r="I11" s="137"/>
      <c r="J11" s="137"/>
    </row>
    <row r="12" spans="1:10" ht="15.75" customHeight="1" x14ac:dyDescent="0.2">
      <c r="B12" s="135" t="s">
        <v>86</v>
      </c>
      <c r="C12" s="135"/>
      <c r="D12" s="135"/>
      <c r="E12" s="135" t="s">
        <v>87</v>
      </c>
      <c r="F12" s="135"/>
      <c r="G12" s="31"/>
      <c r="H12" s="15"/>
      <c r="I12" s="16"/>
      <c r="J12" s="16"/>
    </row>
    <row r="13" spans="1:10" ht="15.75" customHeight="1" x14ac:dyDescent="0.2">
      <c r="B13" s="135" t="s">
        <v>88</v>
      </c>
      <c r="C13" s="135"/>
      <c r="D13" s="135"/>
      <c r="E13" s="171"/>
      <c r="F13" s="171"/>
      <c r="G13" s="171"/>
      <c r="H13" s="15"/>
      <c r="I13" s="16"/>
      <c r="J13" s="16"/>
    </row>
    <row r="14" spans="1:10" ht="15.75" customHeight="1" x14ac:dyDescent="0.2">
      <c r="B14" s="31"/>
      <c r="C14" s="31"/>
      <c r="D14" s="31"/>
      <c r="E14" s="31"/>
      <c r="F14" s="31"/>
      <c r="G14" s="31"/>
      <c r="H14" s="15"/>
      <c r="I14" s="16"/>
      <c r="J14" s="16"/>
    </row>
    <row r="15" spans="1:10" ht="15.75" customHeight="1" x14ac:dyDescent="0.2">
      <c r="B15" s="31"/>
      <c r="C15" s="31"/>
      <c r="D15" s="31"/>
      <c r="E15" s="31"/>
      <c r="F15" s="31"/>
      <c r="G15" s="31"/>
      <c r="H15" s="15"/>
      <c r="I15" s="16"/>
      <c r="J15" s="16"/>
    </row>
    <row r="16" spans="1:10" ht="15.75" customHeight="1" x14ac:dyDescent="0.2">
      <c r="B16" s="102" t="s">
        <v>5</v>
      </c>
      <c r="C16" s="135" t="s">
        <v>53</v>
      </c>
      <c r="D16" s="135"/>
      <c r="E16" s="135"/>
      <c r="F16" s="135" t="s">
        <v>6</v>
      </c>
      <c r="G16" s="135"/>
      <c r="H16" s="134" t="s">
        <v>56</v>
      </c>
      <c r="I16" s="134"/>
      <c r="J16" s="134"/>
    </row>
    <row r="17" spans="1:15" ht="15.75" customHeight="1" x14ac:dyDescent="0.2">
      <c r="B17" s="102" t="s">
        <v>4</v>
      </c>
      <c r="C17" s="135" t="s">
        <v>54</v>
      </c>
      <c r="D17" s="135"/>
      <c r="E17" s="135"/>
      <c r="F17" s="102" t="s">
        <v>7</v>
      </c>
      <c r="G17" s="31"/>
      <c r="H17" s="135" t="s">
        <v>32</v>
      </c>
      <c r="I17" s="135"/>
      <c r="J17" s="135"/>
    </row>
    <row r="18" spans="1:15" ht="15.75" customHeight="1" x14ac:dyDescent="0.2">
      <c r="B18" s="31"/>
      <c r="C18" s="135" t="s">
        <v>55</v>
      </c>
      <c r="D18" s="135"/>
      <c r="E18" s="135"/>
      <c r="F18" s="102" t="s">
        <v>8</v>
      </c>
      <c r="G18" s="31" t="s">
        <v>33</v>
      </c>
      <c r="H18" s="15"/>
      <c r="I18" s="16"/>
      <c r="J18" s="16"/>
    </row>
    <row r="19" spans="1:15" ht="9.75" customHeight="1" x14ac:dyDescent="0.2">
      <c r="B19" s="17"/>
      <c r="C19" s="17"/>
      <c r="D19" s="17"/>
      <c r="E19" s="17"/>
      <c r="F19" s="17"/>
      <c r="G19" s="17"/>
      <c r="H19" s="17"/>
      <c r="I19" s="17"/>
      <c r="J19" s="16"/>
      <c r="O19"/>
    </row>
    <row r="20" spans="1:15" ht="22.5" customHeight="1" x14ac:dyDescent="0.2">
      <c r="A20" s="13" t="s">
        <v>9</v>
      </c>
      <c r="B20" s="18" t="s">
        <v>9</v>
      </c>
      <c r="C20" s="136" t="s">
        <v>27</v>
      </c>
      <c r="D20" s="136"/>
      <c r="E20" s="136"/>
      <c r="F20" s="18" t="s">
        <v>10</v>
      </c>
      <c r="G20" s="18" t="s">
        <v>11</v>
      </c>
      <c r="H20" s="136" t="s">
        <v>28</v>
      </c>
      <c r="I20" s="136"/>
      <c r="J20" s="19"/>
    </row>
    <row r="21" spans="1:15" ht="24.75" customHeight="1" x14ac:dyDescent="0.35">
      <c r="A21" s="3"/>
      <c r="B21" s="20">
        <v>1</v>
      </c>
      <c r="C21" s="132" t="s">
        <v>57</v>
      </c>
      <c r="D21" s="132"/>
      <c r="E21" s="132"/>
      <c r="F21" s="21">
        <v>30</v>
      </c>
      <c r="G21" s="22">
        <v>18300</v>
      </c>
      <c r="H21" s="133">
        <f>F21*G21</f>
        <v>549000</v>
      </c>
      <c r="I21" s="133"/>
      <c r="J21" s="22"/>
    </row>
    <row r="22" spans="1:15" x14ac:dyDescent="0.2">
      <c r="B22" s="23"/>
      <c r="C22" s="123"/>
      <c r="D22" s="123"/>
      <c r="E22" s="123"/>
      <c r="F22" s="16"/>
      <c r="G22" s="16"/>
      <c r="H22" s="123"/>
      <c r="I22" s="123"/>
      <c r="J22" s="16"/>
    </row>
    <row r="23" spans="1:15" x14ac:dyDescent="0.2">
      <c r="B23" s="23"/>
      <c r="C23" s="123"/>
      <c r="D23" s="123"/>
      <c r="E23" s="123"/>
      <c r="F23" s="16"/>
      <c r="G23" s="23"/>
      <c r="H23" s="123"/>
      <c r="I23" s="123"/>
      <c r="J23" s="23"/>
    </row>
    <row r="24" spans="1:15" x14ac:dyDescent="0.2">
      <c r="B24" s="23"/>
      <c r="C24" s="123"/>
      <c r="D24" s="123"/>
      <c r="E24" s="123"/>
      <c r="F24" s="16"/>
      <c r="G24" s="16"/>
      <c r="H24" s="123"/>
      <c r="I24" s="123"/>
      <c r="J24" s="16"/>
    </row>
    <row r="25" spans="1:15" x14ac:dyDescent="0.2">
      <c r="B25" s="23"/>
      <c r="C25" s="123"/>
      <c r="D25" s="123"/>
      <c r="E25" s="123"/>
      <c r="F25" s="16"/>
      <c r="G25" s="23"/>
      <c r="H25" s="123"/>
      <c r="I25" s="123"/>
      <c r="J25" s="23"/>
    </row>
    <row r="26" spans="1:15" x14ac:dyDescent="0.2">
      <c r="B26" s="23"/>
      <c r="C26" s="123"/>
      <c r="D26" s="123"/>
      <c r="E26" s="123"/>
      <c r="F26" s="16"/>
      <c r="G26" s="16"/>
      <c r="H26" s="123"/>
      <c r="I26" s="123"/>
      <c r="J26" s="16"/>
    </row>
    <row r="27" spans="1:15" x14ac:dyDescent="0.2">
      <c r="B27" s="23"/>
      <c r="C27" s="123"/>
      <c r="D27" s="123"/>
      <c r="E27" s="123"/>
      <c r="F27" s="16"/>
      <c r="G27" s="23"/>
      <c r="H27" s="123"/>
      <c r="I27" s="123"/>
      <c r="J27" s="23"/>
    </row>
    <row r="28" spans="1:15" x14ac:dyDescent="0.2">
      <c r="B28" s="23"/>
      <c r="C28" s="123"/>
      <c r="D28" s="123"/>
      <c r="E28" s="123"/>
      <c r="F28" s="16"/>
      <c r="G28" s="16"/>
      <c r="H28" s="123"/>
      <c r="I28" s="123"/>
      <c r="J28" s="16"/>
    </row>
    <row r="29" spans="1:15" x14ac:dyDescent="0.2">
      <c r="B29" s="23"/>
      <c r="C29" s="123"/>
      <c r="D29" s="123"/>
      <c r="E29" s="123"/>
      <c r="F29" s="16"/>
      <c r="G29" s="23"/>
      <c r="H29" s="123"/>
      <c r="I29" s="123"/>
      <c r="J29" s="23"/>
    </row>
    <row r="30" spans="1:15" x14ac:dyDescent="0.2">
      <c r="B30" s="23"/>
      <c r="C30" s="123"/>
      <c r="D30" s="123"/>
      <c r="E30" s="123"/>
      <c r="F30" s="16"/>
      <c r="G30" s="16"/>
      <c r="H30" s="123"/>
      <c r="I30" s="123"/>
      <c r="J30" s="16"/>
    </row>
    <row r="31" spans="1:15" x14ac:dyDescent="0.2">
      <c r="B31" s="23"/>
      <c r="C31" s="123"/>
      <c r="D31" s="123"/>
      <c r="E31" s="123"/>
      <c r="F31" s="16"/>
      <c r="G31" s="23"/>
      <c r="H31" s="123"/>
      <c r="I31" s="123"/>
      <c r="J31" s="23"/>
    </row>
    <row r="32" spans="1:15" x14ac:dyDescent="0.2">
      <c r="B32" s="24"/>
      <c r="C32" s="131"/>
      <c r="D32" s="131"/>
      <c r="E32" s="131"/>
      <c r="F32" s="17"/>
      <c r="G32" s="17"/>
      <c r="H32" s="131"/>
      <c r="I32" s="131"/>
      <c r="J32" s="16"/>
    </row>
    <row r="33" spans="1:10" ht="26.25" customHeight="1" x14ac:dyDescent="0.2">
      <c r="B33" s="128" t="s">
        <v>13</v>
      </c>
      <c r="C33" s="128"/>
      <c r="D33" s="128"/>
      <c r="E33" s="128"/>
      <c r="F33" s="128" t="s">
        <v>29</v>
      </c>
      <c r="G33" s="128"/>
      <c r="H33" s="129">
        <f>H21</f>
        <v>549000</v>
      </c>
      <c r="I33" s="129"/>
      <c r="J33" s="23"/>
    </row>
    <row r="34" spans="1:10" x14ac:dyDescent="0.2">
      <c r="B34" s="16"/>
      <c r="C34" s="16"/>
      <c r="D34" s="16"/>
      <c r="E34" s="16"/>
      <c r="F34" s="128" t="s">
        <v>30</v>
      </c>
      <c r="G34" s="128"/>
      <c r="H34" s="130">
        <f>H33*7%</f>
        <v>38430.000000000007</v>
      </c>
      <c r="I34" s="130"/>
      <c r="J34" s="23"/>
    </row>
    <row r="35" spans="1:10" x14ac:dyDescent="0.2">
      <c r="B35" s="16"/>
      <c r="C35" s="16"/>
      <c r="D35" s="16"/>
      <c r="E35" s="16"/>
      <c r="F35" s="128" t="s">
        <v>31</v>
      </c>
      <c r="G35" s="128"/>
      <c r="H35" s="26"/>
      <c r="I35" s="27" t="s">
        <v>37</v>
      </c>
      <c r="J35" s="28"/>
    </row>
    <row r="36" spans="1:10" ht="12" customHeight="1" x14ac:dyDescent="0.2">
      <c r="B36" s="17"/>
      <c r="C36" s="17"/>
      <c r="D36" s="17"/>
      <c r="E36" s="17"/>
      <c r="F36" s="17"/>
      <c r="G36" s="17"/>
      <c r="H36" s="17"/>
      <c r="I36" s="17"/>
      <c r="J36" s="16"/>
    </row>
    <row r="37" spans="1:10" ht="21.75" customHeight="1" x14ac:dyDescent="0.4">
      <c r="A37" s="14"/>
      <c r="B37" s="29" t="s">
        <v>16</v>
      </c>
      <c r="C37" s="29"/>
      <c r="D37" s="16"/>
      <c r="E37" s="16"/>
      <c r="F37" s="16"/>
      <c r="G37" s="16"/>
      <c r="H37" s="124">
        <f>H33+H34</f>
        <v>587430</v>
      </c>
      <c r="I37" s="125"/>
      <c r="J37" s="16"/>
    </row>
    <row r="38" spans="1:10" x14ac:dyDescent="0.2">
      <c r="B38" s="16"/>
      <c r="C38" s="16"/>
      <c r="D38" s="16"/>
      <c r="E38" s="126" t="str">
        <f>BAHTTEXT((H37))</f>
        <v>ห้าแสนแปดหมื่นเจ็ดพันสี่ร้อยสามสิบบาทถ้วน</v>
      </c>
      <c r="F38" s="126"/>
      <c r="G38" s="126"/>
      <c r="H38" s="126"/>
      <c r="I38" s="126"/>
      <c r="J38" s="16"/>
    </row>
    <row r="39" spans="1:10" x14ac:dyDescent="0.2">
      <c r="B39" s="16"/>
      <c r="C39" s="16"/>
      <c r="D39" s="16"/>
      <c r="E39" s="16"/>
      <c r="F39" s="16"/>
      <c r="G39" s="16"/>
      <c r="H39" s="16"/>
      <c r="I39" s="16"/>
      <c r="J39" s="16"/>
    </row>
    <row r="40" spans="1:10" x14ac:dyDescent="0.2">
      <c r="B40"/>
      <c r="C40" s="16"/>
      <c r="D40"/>
      <c r="E40" s="16"/>
      <c r="F40" s="16"/>
      <c r="G40" s="16"/>
      <c r="H40" s="16"/>
      <c r="I40" s="16"/>
      <c r="J40" s="16"/>
    </row>
    <row r="41" spans="1:10" x14ac:dyDescent="0.35">
      <c r="B41" s="16"/>
      <c r="C41" s="16"/>
      <c r="D41" s="16"/>
      <c r="E41" s="16"/>
      <c r="F41" s="122" t="s">
        <v>35</v>
      </c>
      <c r="G41" s="122"/>
      <c r="H41" s="122"/>
      <c r="I41" s="30" t="s">
        <v>17</v>
      </c>
      <c r="J41" s="16"/>
    </row>
    <row r="42" spans="1:10" x14ac:dyDescent="0.2">
      <c r="B42" s="16"/>
      <c r="C42" s="16"/>
      <c r="D42" s="16"/>
      <c r="E42" s="16"/>
      <c r="F42" s="123" t="s">
        <v>58</v>
      </c>
      <c r="G42" s="123"/>
      <c r="H42" s="123"/>
      <c r="I42" s="16"/>
      <c r="J42" s="16"/>
    </row>
    <row r="43" spans="1:10" x14ac:dyDescent="0.2">
      <c r="B43" s="127" t="s">
        <v>34</v>
      </c>
      <c r="C43" s="16"/>
      <c r="D43" s="16"/>
      <c r="E43" s="16"/>
      <c r="F43" s="123" t="s">
        <v>19</v>
      </c>
      <c r="G43" s="123"/>
      <c r="H43" s="123"/>
      <c r="I43" s="16"/>
      <c r="J43" s="16"/>
    </row>
    <row r="44" spans="1:10" ht="12.75" customHeight="1" x14ac:dyDescent="0.2">
      <c r="B44" s="127"/>
      <c r="C44" s="16"/>
      <c r="D44" s="16"/>
      <c r="E44" s="16"/>
      <c r="F44" s="16"/>
      <c r="G44" s="16"/>
      <c r="H44" s="16"/>
      <c r="I44" s="25"/>
      <c r="J44" s="16"/>
    </row>
    <row r="45" spans="1:10" x14ac:dyDescent="0.2">
      <c r="B45" s="16"/>
      <c r="C45" s="16"/>
      <c r="D45" s="16"/>
      <c r="E45" s="16"/>
      <c r="F45" s="16"/>
      <c r="G45" s="16"/>
      <c r="H45" s="16"/>
      <c r="I45" s="16"/>
      <c r="J45" s="16"/>
    </row>
    <row r="46" spans="1:10" x14ac:dyDescent="0.35">
      <c r="B46" s="16"/>
      <c r="C46" s="16"/>
      <c r="D46" s="16"/>
      <c r="E46" s="16"/>
      <c r="F46" s="122" t="s">
        <v>36</v>
      </c>
      <c r="G46" s="122"/>
      <c r="H46" s="122"/>
      <c r="I46" s="25" t="s">
        <v>21</v>
      </c>
      <c r="J46" s="16"/>
    </row>
    <row r="47" spans="1:10" x14ac:dyDescent="0.2">
      <c r="B47" s="16"/>
      <c r="C47" s="16"/>
      <c r="D47" s="16"/>
      <c r="E47" s="16"/>
      <c r="F47" s="123" t="s">
        <v>18</v>
      </c>
      <c r="G47" s="123"/>
      <c r="H47" s="123"/>
      <c r="I47" s="16"/>
      <c r="J47" s="16"/>
    </row>
    <row r="48" spans="1:10" ht="23.25" customHeight="1" x14ac:dyDescent="0.2"/>
    <row r="49" spans="1:10" ht="24" customHeight="1" x14ac:dyDescent="0.2"/>
    <row r="50" spans="1:10" ht="24" customHeight="1" x14ac:dyDescent="0.2">
      <c r="A50" s="81"/>
      <c r="B50" s="81"/>
      <c r="C50" s="81"/>
      <c r="D50" s="81"/>
      <c r="E50" s="81"/>
      <c r="F50" s="81"/>
      <c r="G50" s="81"/>
      <c r="H50" s="81"/>
      <c r="I50" s="81"/>
      <c r="J50" s="81"/>
    </row>
    <row r="51" spans="1:10" ht="21" customHeight="1" x14ac:dyDescent="0.2">
      <c r="A51" s="81"/>
      <c r="B51" s="81"/>
      <c r="C51" s="81"/>
      <c r="D51" s="81"/>
      <c r="E51" s="81"/>
      <c r="F51" s="81"/>
      <c r="G51" s="81"/>
      <c r="H51" s="81"/>
      <c r="I51" s="81"/>
      <c r="J51" s="81"/>
    </row>
    <row r="52" spans="1:10" ht="21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</row>
  </sheetData>
  <mergeCells count="56">
    <mergeCell ref="C11:F11"/>
    <mergeCell ref="H11:J11"/>
    <mergeCell ref="A1:E4"/>
    <mergeCell ref="C9:F9"/>
    <mergeCell ref="H9:J9"/>
    <mergeCell ref="C10:F10"/>
    <mergeCell ref="H10:J10"/>
    <mergeCell ref="B12:D12"/>
    <mergeCell ref="E12:F12"/>
    <mergeCell ref="B13:D13"/>
    <mergeCell ref="C16:E16"/>
    <mergeCell ref="F16:G16"/>
    <mergeCell ref="H16:J16"/>
    <mergeCell ref="C17:E17"/>
    <mergeCell ref="H17:J17"/>
    <mergeCell ref="C18:E18"/>
    <mergeCell ref="C20:E20"/>
    <mergeCell ref="H20:I20"/>
    <mergeCell ref="C21:E21"/>
    <mergeCell ref="H21:I21"/>
    <mergeCell ref="C22:E22"/>
    <mergeCell ref="H22:I22"/>
    <mergeCell ref="C23:E23"/>
    <mergeCell ref="H23:I23"/>
    <mergeCell ref="C24:E24"/>
    <mergeCell ref="H24:I24"/>
    <mergeCell ref="C25:E25"/>
    <mergeCell ref="H25:I25"/>
    <mergeCell ref="C26:E26"/>
    <mergeCell ref="H26:I26"/>
    <mergeCell ref="C27:E27"/>
    <mergeCell ref="H27:I27"/>
    <mergeCell ref="C28:E28"/>
    <mergeCell ref="H28:I28"/>
    <mergeCell ref="C29:E29"/>
    <mergeCell ref="H29:I29"/>
    <mergeCell ref="C30:E30"/>
    <mergeCell ref="H30:I30"/>
    <mergeCell ref="C31:E31"/>
    <mergeCell ref="H31:I31"/>
    <mergeCell ref="C32:E32"/>
    <mergeCell ref="H32:I32"/>
    <mergeCell ref="B43:B44"/>
    <mergeCell ref="F43:H43"/>
    <mergeCell ref="B33:E33"/>
    <mergeCell ref="F33:G33"/>
    <mergeCell ref="H33:I33"/>
    <mergeCell ref="F34:G34"/>
    <mergeCell ref="H34:I34"/>
    <mergeCell ref="F35:G35"/>
    <mergeCell ref="F46:H46"/>
    <mergeCell ref="F47:H47"/>
    <mergeCell ref="H37:I37"/>
    <mergeCell ref="E38:I38"/>
    <mergeCell ref="F41:H41"/>
    <mergeCell ref="F42:H42"/>
  </mergeCells>
  <pageMargins left="0" right="0" top="0" bottom="0" header="0" footer="0"/>
  <pageSetup paperSize="9" scale="89" orientation="portrait" r:id="rId1"/>
  <rowBreaks count="1" manualBreakCount="1">
    <brk id="52" max="9" man="1"/>
  </rowBreaks>
  <drawing r:id="rId2"/>
  <picture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9A869-0AB3-4A45-BE15-5FA72A736D38}">
  <sheetPr>
    <tabColor rgb="FF66FFCC"/>
    <pageSetUpPr fitToPage="1"/>
  </sheetPr>
  <dimension ref="A1:O52"/>
  <sheetViews>
    <sheetView tabSelected="1" view="pageBreakPreview" topLeftCell="A28" zoomScaleNormal="85" zoomScaleSheetLayoutView="100" workbookViewId="0">
      <selection activeCell="G15" sqref="G15"/>
    </sheetView>
  </sheetViews>
  <sheetFormatPr defaultRowHeight="14.25" x14ac:dyDescent="0.2"/>
  <cols>
    <col min="1" max="1" width="8" customWidth="1"/>
    <col min="5" max="5" width="25.125" customWidth="1"/>
    <col min="6" max="6" width="9.125" customWidth="1"/>
    <col min="8" max="8" width="10.875" bestFit="1" customWidth="1"/>
    <col min="10" max="10" width="20.25" customWidth="1"/>
    <col min="11" max="11" width="7" customWidth="1"/>
    <col min="13" max="13" width="11.375" customWidth="1"/>
    <col min="14" max="14" width="16.75" customWidth="1"/>
  </cols>
  <sheetData>
    <row r="1" spans="1:11" x14ac:dyDescent="0.2">
      <c r="A1" s="166">
        <v>1</v>
      </c>
      <c r="B1" s="96"/>
      <c r="C1" s="96"/>
      <c r="D1" s="96"/>
      <c r="E1" s="96"/>
      <c r="F1" s="97"/>
      <c r="G1" s="97"/>
      <c r="H1" s="97"/>
      <c r="I1" s="97"/>
      <c r="J1" s="97"/>
      <c r="K1" s="167">
        <v>2</v>
      </c>
    </row>
    <row r="11" spans="1:11" ht="16.5" x14ac:dyDescent="0.35">
      <c r="A11" s="74"/>
      <c r="B11" s="95" t="s">
        <v>51</v>
      </c>
      <c r="G11" s="92"/>
      <c r="H11" s="92"/>
      <c r="I11" s="141"/>
      <c r="J11" s="141"/>
    </row>
    <row r="12" spans="1:11" ht="18" x14ac:dyDescent="0.35">
      <c r="B12" s="148" t="s">
        <v>77</v>
      </c>
      <c r="C12" s="148"/>
      <c r="D12" s="148"/>
      <c r="E12" s="148"/>
      <c r="F12" s="148"/>
      <c r="G12" s="92"/>
      <c r="H12" s="92"/>
      <c r="I12" s="142"/>
      <c r="J12" s="142"/>
    </row>
    <row r="13" spans="1:11" ht="15.75" x14ac:dyDescent="0.2">
      <c r="B13" s="94" t="s">
        <v>65</v>
      </c>
      <c r="C13" s="117" t="s">
        <v>82</v>
      </c>
      <c r="D13" s="117"/>
      <c r="E13" s="117"/>
      <c r="F13" s="117"/>
      <c r="G13" s="90"/>
      <c r="H13" s="92" t="s">
        <v>64</v>
      </c>
      <c r="I13" s="145" t="s">
        <v>52</v>
      </c>
      <c r="J13" s="145"/>
    </row>
    <row r="14" spans="1:11" ht="15.75" x14ac:dyDescent="0.2">
      <c r="B14" s="90"/>
      <c r="C14" s="147" t="s">
        <v>78</v>
      </c>
      <c r="D14" s="147"/>
      <c r="E14" s="147"/>
      <c r="F14" s="93"/>
      <c r="G14" s="93"/>
      <c r="H14" s="92" t="s">
        <v>63</v>
      </c>
      <c r="I14" s="146">
        <v>244633</v>
      </c>
      <c r="J14" s="145"/>
    </row>
    <row r="15" spans="1:11" ht="16.5" x14ac:dyDescent="0.35">
      <c r="B15" s="90" t="s">
        <v>62</v>
      </c>
      <c r="C15" s="90"/>
      <c r="D15" s="143" t="s">
        <v>79</v>
      </c>
      <c r="E15" s="147"/>
      <c r="H15" s="141"/>
      <c r="I15" s="141"/>
    </row>
    <row r="16" spans="1:11" ht="16.5" x14ac:dyDescent="0.35">
      <c r="B16" s="91" t="s">
        <v>61</v>
      </c>
      <c r="C16" s="90"/>
      <c r="D16" s="143" t="s">
        <v>80</v>
      </c>
      <c r="E16" s="144"/>
      <c r="F16" s="89"/>
      <c r="H16" s="142"/>
      <c r="I16" s="142"/>
    </row>
    <row r="17" spans="2:15" ht="13.5" customHeight="1" x14ac:dyDescent="0.2"/>
    <row r="18" spans="2:15" ht="15.75" customHeight="1" x14ac:dyDescent="0.2">
      <c r="B18" s="157" t="s">
        <v>9</v>
      </c>
      <c r="C18" s="157" t="s">
        <v>23</v>
      </c>
      <c r="D18" s="157"/>
      <c r="E18" s="157"/>
      <c r="F18" s="157"/>
      <c r="G18" s="157" t="s">
        <v>10</v>
      </c>
      <c r="H18" s="160" t="s">
        <v>22</v>
      </c>
      <c r="I18" s="160"/>
      <c r="J18" s="157" t="s">
        <v>60</v>
      </c>
    </row>
    <row r="19" spans="2:15" ht="15.75" customHeight="1" x14ac:dyDescent="0.2">
      <c r="B19" s="157"/>
      <c r="C19" s="157"/>
      <c r="D19" s="157"/>
      <c r="E19" s="157"/>
      <c r="F19" s="157"/>
      <c r="G19" s="157"/>
      <c r="H19" s="160"/>
      <c r="I19" s="160"/>
      <c r="J19" s="157"/>
    </row>
    <row r="20" spans="2:15" ht="36.75" customHeight="1" x14ac:dyDescent="0.2">
      <c r="B20" s="88">
        <v>1</v>
      </c>
      <c r="C20" s="162" t="s">
        <v>57</v>
      </c>
      <c r="D20" s="163"/>
      <c r="E20" s="163"/>
      <c r="F20" s="163"/>
      <c r="G20" s="1">
        <v>30</v>
      </c>
      <c r="H20" s="164">
        <v>18300</v>
      </c>
      <c r="I20" s="164"/>
      <c r="J20" s="36">
        <f>H20*G20</f>
        <v>549000</v>
      </c>
    </row>
    <row r="21" spans="2:15" x14ac:dyDescent="0.2">
      <c r="B21" s="85"/>
      <c r="C21" s="85"/>
      <c r="D21" s="85"/>
      <c r="E21" s="85"/>
      <c r="F21" s="85"/>
      <c r="G21" s="85"/>
      <c r="H21" s="85"/>
      <c r="I21" s="85"/>
      <c r="J21" s="85"/>
    </row>
    <row r="22" spans="2:15" x14ac:dyDescent="0.2">
      <c r="B22" s="86">
        <v>2</v>
      </c>
    </row>
    <row r="23" spans="2:15" x14ac:dyDescent="0.2">
      <c r="B23" s="85"/>
      <c r="C23" s="85"/>
      <c r="D23" s="85"/>
      <c r="E23" s="85"/>
      <c r="F23" s="85"/>
      <c r="G23" s="87"/>
      <c r="H23" s="85"/>
      <c r="I23" s="85"/>
      <c r="J23" s="85"/>
    </row>
    <row r="24" spans="2:15" x14ac:dyDescent="0.2">
      <c r="B24" s="86">
        <v>3</v>
      </c>
    </row>
    <row r="25" spans="2:15" x14ac:dyDescent="0.2">
      <c r="B25" s="85"/>
      <c r="C25" s="85"/>
      <c r="D25" s="85"/>
      <c r="E25" s="85"/>
      <c r="F25" s="85"/>
      <c r="G25" s="85"/>
      <c r="H25" s="85"/>
      <c r="I25" s="85"/>
      <c r="J25" s="85"/>
    </row>
    <row r="26" spans="2:15" x14ac:dyDescent="0.2">
      <c r="B26" s="86">
        <v>4</v>
      </c>
    </row>
    <row r="27" spans="2:15" x14ac:dyDescent="0.2">
      <c r="B27" s="85"/>
      <c r="C27" s="85"/>
      <c r="D27" s="85"/>
      <c r="E27" s="85"/>
      <c r="F27" s="85"/>
      <c r="G27" s="85"/>
      <c r="H27" s="85"/>
      <c r="I27" s="85"/>
      <c r="J27" s="85"/>
    </row>
    <row r="29" spans="2:15" ht="18" x14ac:dyDescent="0.4">
      <c r="B29" s="84" t="s">
        <v>59</v>
      </c>
      <c r="C29" s="161"/>
      <c r="D29" s="145"/>
      <c r="E29" s="145"/>
      <c r="G29" s="159" t="s">
        <v>24</v>
      </c>
      <c r="H29" s="159"/>
      <c r="J29" s="83">
        <f>J20</f>
        <v>549000</v>
      </c>
    </row>
    <row r="30" spans="2:15" ht="18" x14ac:dyDescent="0.4">
      <c r="B30" s="33"/>
      <c r="N30" s="53"/>
      <c r="O30" s="53"/>
    </row>
    <row r="31" spans="2:15" ht="18" x14ac:dyDescent="0.4">
      <c r="G31" s="158" t="s">
        <v>14</v>
      </c>
      <c r="H31" s="158"/>
      <c r="J31" s="83">
        <f>J29*7%</f>
        <v>38430.000000000007</v>
      </c>
    </row>
    <row r="32" spans="2:15" ht="15.75" x14ac:dyDescent="0.2">
      <c r="G32" s="7" t="s">
        <v>15</v>
      </c>
      <c r="N32" s="43"/>
    </row>
    <row r="33" spans="2:14" ht="18" x14ac:dyDescent="0.4">
      <c r="G33" s="156" t="s">
        <v>25</v>
      </c>
      <c r="H33" s="156"/>
      <c r="J33" s="83">
        <f>J29+J31</f>
        <v>587430</v>
      </c>
      <c r="N33" s="43"/>
    </row>
    <row r="36" spans="2:14" ht="18" x14ac:dyDescent="0.4">
      <c r="B36" s="155" t="str">
        <f>"("&amp;BAHTTEXT(J36)&amp;")"</f>
        <v>(สามแสนห้าหมื่นสองพันสี่ร้อยห้าสิบแปดบาทถ้วน)</v>
      </c>
      <c r="C36" s="155"/>
      <c r="D36" s="155"/>
      <c r="E36" s="155"/>
      <c r="F36" s="155"/>
      <c r="G36" s="7" t="s">
        <v>81</v>
      </c>
      <c r="J36" s="82">
        <f>J33*60%</f>
        <v>352458</v>
      </c>
    </row>
    <row r="37" spans="2:14" ht="18" x14ac:dyDescent="0.4">
      <c r="G37" s="153" t="s">
        <v>26</v>
      </c>
      <c r="H37" s="153"/>
      <c r="I37" s="97"/>
      <c r="J37" s="98">
        <f>J33-J36</f>
        <v>234972</v>
      </c>
    </row>
    <row r="40" spans="2:14" x14ac:dyDescent="0.2">
      <c r="F40" s="151"/>
      <c r="G40" s="151"/>
      <c r="H40" s="151"/>
      <c r="I40" s="151"/>
    </row>
    <row r="41" spans="2:14" ht="24" x14ac:dyDescent="0.55000000000000004">
      <c r="F41" s="154"/>
      <c r="G41" s="154"/>
      <c r="H41" s="154"/>
      <c r="I41" s="154"/>
      <c r="J41" s="154"/>
    </row>
    <row r="42" spans="2:14" ht="16.5" x14ac:dyDescent="0.35">
      <c r="F42" s="150"/>
      <c r="G42" s="150"/>
      <c r="H42" s="150"/>
      <c r="I42" s="150"/>
      <c r="J42" s="150"/>
    </row>
    <row r="43" spans="2:14" ht="18" x14ac:dyDescent="0.2">
      <c r="G43" s="152" t="s">
        <v>42</v>
      </c>
      <c r="H43" s="152"/>
      <c r="I43" s="152"/>
      <c r="J43" s="152"/>
    </row>
    <row r="44" spans="2:14" ht="18" x14ac:dyDescent="0.2">
      <c r="G44" s="152" t="s">
        <v>20</v>
      </c>
      <c r="H44" s="152"/>
      <c r="I44" s="152"/>
      <c r="J44" s="152"/>
    </row>
    <row r="45" spans="2:14" ht="17.25" customHeight="1" x14ac:dyDescent="0.2"/>
    <row r="46" spans="2:14" ht="52.5" customHeight="1" x14ac:dyDescent="0.35">
      <c r="F46" s="150"/>
      <c r="G46" s="150"/>
      <c r="H46" s="150"/>
      <c r="I46" s="150"/>
      <c r="J46" s="150"/>
    </row>
    <row r="47" spans="2:14" ht="32.25" customHeight="1" x14ac:dyDescent="0.2">
      <c r="G47" s="152" t="s">
        <v>21</v>
      </c>
      <c r="H47" s="152"/>
      <c r="I47" s="152"/>
      <c r="J47" s="152"/>
    </row>
    <row r="48" spans="2:14" hidden="1" x14ac:dyDescent="0.2"/>
    <row r="49" spans="1:11" hidden="1" x14ac:dyDescent="0.2"/>
    <row r="50" spans="1:11" hidden="1" x14ac:dyDescent="0.2"/>
    <row r="51" spans="1:11" ht="84.75" customHeight="1" x14ac:dyDescent="0.2"/>
    <row r="52" spans="1:11" ht="80.25" customHeight="1" x14ac:dyDescent="0.2">
      <c r="A52" s="168">
        <v>2</v>
      </c>
      <c r="B52" s="97"/>
      <c r="C52" s="97"/>
      <c r="D52" s="97"/>
      <c r="E52" s="97"/>
      <c r="F52" s="97"/>
      <c r="G52" s="149"/>
      <c r="H52" s="149"/>
      <c r="I52" s="149"/>
      <c r="J52" s="149"/>
      <c r="K52" s="167">
        <v>2</v>
      </c>
    </row>
  </sheetData>
  <mergeCells count="32">
    <mergeCell ref="G37:H37"/>
    <mergeCell ref="F41:J41"/>
    <mergeCell ref="B36:F36"/>
    <mergeCell ref="G33:H33"/>
    <mergeCell ref="G18:G19"/>
    <mergeCell ref="G31:H31"/>
    <mergeCell ref="G29:H29"/>
    <mergeCell ref="J18:J19"/>
    <mergeCell ref="B18:B19"/>
    <mergeCell ref="C18:F19"/>
    <mergeCell ref="H18:I19"/>
    <mergeCell ref="C29:E29"/>
    <mergeCell ref="C20:F20"/>
    <mergeCell ref="H20:I20"/>
    <mergeCell ref="G52:J52"/>
    <mergeCell ref="F42:J42"/>
    <mergeCell ref="F46:J46"/>
    <mergeCell ref="F40:I40"/>
    <mergeCell ref="G43:J43"/>
    <mergeCell ref="G44:J44"/>
    <mergeCell ref="G47:J47"/>
    <mergeCell ref="I11:J11"/>
    <mergeCell ref="I12:J12"/>
    <mergeCell ref="D16:E16"/>
    <mergeCell ref="H16:I16"/>
    <mergeCell ref="H15:I15"/>
    <mergeCell ref="I13:J13"/>
    <mergeCell ref="I14:J14"/>
    <mergeCell ref="C13:F13"/>
    <mergeCell ref="C14:E14"/>
    <mergeCell ref="D15:E15"/>
    <mergeCell ref="B12:F12"/>
  </mergeCells>
  <pageMargins left="0" right="0" top="0" bottom="0" header="0" footer="0"/>
  <pageSetup scale="7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76052-B1C4-4744-A69C-DEE7120BF5D5}">
  <sheetPr>
    <tabColor rgb="FFFF0000"/>
    <pageSetUpPr fitToPage="1"/>
  </sheetPr>
  <dimension ref="A1:M51"/>
  <sheetViews>
    <sheetView view="pageBreakPreview" topLeftCell="A32" zoomScaleNormal="100" zoomScaleSheetLayoutView="100" workbookViewId="0">
      <selection activeCell="I50" sqref="I50"/>
    </sheetView>
  </sheetViews>
  <sheetFormatPr defaultColWidth="9" defaultRowHeight="15.75" x14ac:dyDescent="0.2"/>
  <cols>
    <col min="1" max="1" width="4.375" style="37" customWidth="1"/>
    <col min="2" max="2" width="8.25" style="37" customWidth="1"/>
    <col min="3" max="3" width="6.375" style="37" customWidth="1"/>
    <col min="4" max="4" width="9.25" style="37" customWidth="1"/>
    <col min="5" max="5" width="12.625" style="37" customWidth="1"/>
    <col min="6" max="6" width="15.375" style="37" customWidth="1"/>
    <col min="7" max="7" width="9" style="37" customWidth="1"/>
    <col min="8" max="8" width="10.375" style="37" customWidth="1"/>
    <col min="9" max="9" width="20.375" style="37" customWidth="1"/>
    <col min="10" max="10" width="9.75" style="37" customWidth="1"/>
    <col min="11" max="11" width="5.875" style="37" customWidth="1"/>
    <col min="12" max="12" width="11.25" style="37" bestFit="1" customWidth="1"/>
    <col min="13" max="13" width="14.875" style="37" customWidth="1"/>
    <col min="14" max="14" width="9" style="37"/>
    <col min="15" max="15" width="9" style="37" customWidth="1"/>
    <col min="16" max="16384" width="9" style="37"/>
  </cols>
  <sheetData>
    <row r="1" spans="1:12" ht="18" customHeight="1" x14ac:dyDescent="0.2">
      <c r="A1" s="7"/>
      <c r="B1" s="7"/>
      <c r="C1" s="7"/>
      <c r="D1" s="7"/>
      <c r="E1" s="7"/>
      <c r="F1" s="7"/>
      <c r="G1" s="7"/>
      <c r="H1" s="7"/>
      <c r="I1" s="7"/>
      <c r="J1" s="7"/>
      <c r="K1" s="4">
        <v>1</v>
      </c>
    </row>
    <row r="2" spans="1:12" ht="18" customHeight="1" x14ac:dyDescent="0.8">
      <c r="A2" s="7"/>
      <c r="B2" s="7"/>
      <c r="C2" s="7"/>
      <c r="D2" s="80"/>
      <c r="E2" s="80"/>
      <c r="F2" s="80"/>
      <c r="G2" s="80"/>
      <c r="H2" s="80"/>
      <c r="I2" s="80"/>
      <c r="J2" s="80"/>
      <c r="K2" s="80"/>
    </row>
    <row r="3" spans="1:12" ht="27" customHeight="1" x14ac:dyDescent="0.8">
      <c r="A3" s="7"/>
      <c r="B3" s="7"/>
      <c r="C3" s="7"/>
      <c r="D3" s="80"/>
      <c r="E3" s="80"/>
      <c r="F3" s="80"/>
      <c r="G3" s="80"/>
      <c r="H3" s="80"/>
      <c r="I3" s="80"/>
      <c r="J3" s="80"/>
      <c r="K3" s="80"/>
    </row>
    <row r="4" spans="1:12" ht="18" customHeight="1" x14ac:dyDescent="0.8">
      <c r="A4" s="7"/>
      <c r="B4" s="7"/>
      <c r="C4" s="7"/>
      <c r="D4" s="7"/>
      <c r="E4" s="7"/>
      <c r="F4" s="80"/>
      <c r="G4" s="80"/>
      <c r="H4" s="80"/>
      <c r="I4" s="80"/>
      <c r="J4" s="80"/>
      <c r="K4" s="80"/>
    </row>
    <row r="5" spans="1:12" ht="15.75" customHeight="1" x14ac:dyDescent="0.8">
      <c r="A5" s="7"/>
      <c r="B5" s="7"/>
      <c r="C5" s="7"/>
      <c r="D5" s="7"/>
      <c r="E5" s="7"/>
      <c r="F5" s="80"/>
      <c r="G5" s="80"/>
      <c r="H5" s="80"/>
      <c r="I5" s="80"/>
      <c r="J5" s="80"/>
      <c r="K5" s="80"/>
    </row>
    <row r="6" spans="1:12" ht="18" customHeight="1" x14ac:dyDescent="0.35">
      <c r="A6" s="7"/>
      <c r="B6" s="79"/>
      <c r="C6" s="79"/>
      <c r="D6" s="79"/>
      <c r="E6" s="77"/>
      <c r="F6" s="7"/>
      <c r="G6" s="7"/>
      <c r="H6" s="7"/>
      <c r="I6" s="7"/>
      <c r="J6" s="7"/>
      <c r="K6" s="7"/>
    </row>
    <row r="7" spans="1:12" ht="18" customHeight="1" x14ac:dyDescent="0.2">
      <c r="A7" s="7"/>
      <c r="B7" s="72"/>
      <c r="C7" s="72"/>
      <c r="D7" s="72"/>
      <c r="E7" s="72"/>
      <c r="F7" s="78"/>
      <c r="G7" s="77"/>
      <c r="H7" s="9"/>
      <c r="I7" s="9"/>
      <c r="J7" s="38"/>
      <c r="K7" s="7"/>
    </row>
    <row r="8" spans="1:12" ht="31.5" customHeight="1" x14ac:dyDescent="0.35">
      <c r="A8" s="7"/>
      <c r="B8" s="70"/>
      <c r="C8" s="70"/>
      <c r="D8" s="70"/>
      <c r="E8" s="70"/>
      <c r="F8" s="75"/>
      <c r="G8" s="75"/>
      <c r="H8" s="75"/>
      <c r="I8" s="75"/>
      <c r="J8" s="76"/>
      <c r="K8" s="7"/>
    </row>
    <row r="9" spans="1:12" ht="15.75" customHeight="1" x14ac:dyDescent="0.35">
      <c r="A9" s="7"/>
      <c r="B9" s="7"/>
      <c r="C9" s="66" t="s">
        <v>51</v>
      </c>
      <c r="D9" s="8"/>
      <c r="E9" s="8"/>
      <c r="F9" s="66" t="s">
        <v>7</v>
      </c>
      <c r="G9" s="115" t="s">
        <v>71</v>
      </c>
      <c r="H9" s="116"/>
      <c r="I9" s="75"/>
      <c r="J9" s="7"/>
      <c r="K9" s="7"/>
    </row>
    <row r="10" spans="1:12" ht="22.5" customHeight="1" x14ac:dyDescent="0.35">
      <c r="A10" s="7"/>
      <c r="B10" s="74"/>
      <c r="C10" s="119" t="s">
        <v>67</v>
      </c>
      <c r="D10" s="119"/>
      <c r="E10" s="119"/>
      <c r="F10" s="119"/>
      <c r="G10" s="119"/>
      <c r="H10" s="73"/>
      <c r="I10" s="104" t="s">
        <v>66</v>
      </c>
      <c r="J10" s="104"/>
      <c r="K10" s="7"/>
    </row>
    <row r="11" spans="1:12" ht="15.75" customHeight="1" x14ac:dyDescent="0.2">
      <c r="A11" s="7"/>
      <c r="B11" s="72"/>
      <c r="C11" s="71" t="s">
        <v>50</v>
      </c>
      <c r="D11" s="117" t="s">
        <v>68</v>
      </c>
      <c r="E11" s="117"/>
      <c r="F11" s="117"/>
      <c r="G11" s="117"/>
      <c r="H11" s="70"/>
      <c r="I11" s="107" t="s">
        <v>84</v>
      </c>
      <c r="J11" s="107"/>
      <c r="K11" s="7"/>
    </row>
    <row r="12" spans="1:12" ht="15.75" customHeight="1" x14ac:dyDescent="0.2">
      <c r="A12" s="7"/>
      <c r="B12" s="70"/>
      <c r="C12" s="69"/>
      <c r="D12" s="117" t="s">
        <v>69</v>
      </c>
      <c r="E12" s="117"/>
      <c r="F12" s="117"/>
      <c r="G12" s="117"/>
      <c r="H12" s="117"/>
      <c r="I12" s="68" t="s">
        <v>85</v>
      </c>
      <c r="J12" s="67"/>
      <c r="K12" s="7"/>
    </row>
    <row r="13" spans="1:12" ht="15.75" customHeight="1" x14ac:dyDescent="0.2">
      <c r="A13" s="7"/>
      <c r="B13" s="7"/>
      <c r="C13" s="66" t="s">
        <v>49</v>
      </c>
      <c r="D13" s="8"/>
      <c r="E13" s="118" t="s">
        <v>70</v>
      </c>
      <c r="F13" s="117"/>
      <c r="G13" s="117"/>
      <c r="H13" s="117"/>
      <c r="I13" s="8"/>
      <c r="J13" s="8"/>
      <c r="K13" s="7"/>
    </row>
    <row r="14" spans="1:12" ht="15.75" customHeight="1" x14ac:dyDescent="0.2">
      <c r="A14" s="7"/>
      <c r="B14" s="7"/>
      <c r="C14" s="7"/>
      <c r="D14" s="121"/>
      <c r="E14" s="121"/>
      <c r="F14" s="121"/>
      <c r="G14" s="7"/>
      <c r="H14" s="7"/>
      <c r="I14" s="7"/>
      <c r="J14" s="7"/>
      <c r="K14" s="7"/>
    </row>
    <row r="15" spans="1:12" ht="21.75" customHeight="1" x14ac:dyDescent="0.2">
      <c r="A15" s="7"/>
      <c r="B15" s="7"/>
      <c r="C15" s="65" t="s">
        <v>9</v>
      </c>
      <c r="D15" s="120" t="s">
        <v>12</v>
      </c>
      <c r="E15" s="120"/>
      <c r="F15" s="120"/>
      <c r="G15" s="65" t="s">
        <v>10</v>
      </c>
      <c r="H15" s="65" t="s">
        <v>48</v>
      </c>
      <c r="I15" s="65" t="s">
        <v>47</v>
      </c>
      <c r="J15" s="7"/>
      <c r="K15" s="7"/>
    </row>
    <row r="16" spans="1:12" ht="15.75" customHeight="1" x14ac:dyDescent="0.35">
      <c r="A16" s="7"/>
      <c r="B16" s="7"/>
      <c r="C16" s="32">
        <v>1</v>
      </c>
      <c r="D16" s="165" t="s">
        <v>57</v>
      </c>
      <c r="E16" s="165"/>
      <c r="F16" s="165"/>
      <c r="G16" s="64">
        <v>20</v>
      </c>
      <c r="H16" s="99">
        <v>18300</v>
      </c>
      <c r="I16" s="63">
        <f>G16*H16</f>
        <v>366000</v>
      </c>
      <c r="J16" s="60"/>
      <c r="K16" s="7"/>
      <c r="L16" s="7"/>
    </row>
    <row r="17" spans="1:13" ht="18" customHeight="1" x14ac:dyDescent="0.3">
      <c r="A17" s="7"/>
      <c r="B17" s="7"/>
      <c r="C17" s="7"/>
      <c r="D17" s="62"/>
      <c r="E17" s="62"/>
      <c r="F17" s="62"/>
      <c r="G17" s="4"/>
      <c r="H17" s="60"/>
      <c r="I17" s="60"/>
      <c r="J17" s="35"/>
      <c r="K17" s="7"/>
    </row>
    <row r="18" spans="1:13" ht="15.75" customHeight="1" x14ac:dyDescent="0.2">
      <c r="A18" s="7"/>
      <c r="B18" s="7"/>
      <c r="C18" s="7"/>
      <c r="D18" s="108"/>
      <c r="E18" s="108"/>
      <c r="F18" s="108"/>
      <c r="G18" s="4"/>
      <c r="H18" s="60"/>
      <c r="I18" s="60"/>
      <c r="J18" s="61"/>
      <c r="K18" s="7"/>
    </row>
    <row r="19" spans="1:13" x14ac:dyDescent="0.2">
      <c r="A19" s="7"/>
      <c r="B19" s="7"/>
      <c r="C19" s="7"/>
      <c r="D19" s="108"/>
      <c r="E19" s="108"/>
      <c r="F19" s="108"/>
      <c r="G19" s="4"/>
      <c r="H19" s="60" t="s">
        <v>46</v>
      </c>
      <c r="I19" s="60"/>
      <c r="J19" s="7"/>
      <c r="K19" s="7"/>
    </row>
    <row r="20" spans="1:13" x14ac:dyDescent="0.2">
      <c r="A20" s="7"/>
      <c r="B20" s="7"/>
      <c r="C20" s="7"/>
      <c r="D20" s="108"/>
      <c r="E20" s="108"/>
      <c r="F20" s="108"/>
      <c r="G20" s="4"/>
      <c r="H20" s="60"/>
      <c r="I20" s="60"/>
      <c r="J20" s="7"/>
      <c r="K20" s="7"/>
    </row>
    <row r="21" spans="1:13" x14ac:dyDescent="0.2">
      <c r="A21" s="7"/>
      <c r="B21" s="7"/>
      <c r="C21" s="7"/>
      <c r="D21" s="108"/>
      <c r="E21" s="108"/>
      <c r="F21" s="108"/>
      <c r="G21" s="4"/>
      <c r="H21" s="60"/>
      <c r="I21" s="60"/>
      <c r="J21" s="7"/>
      <c r="K21" s="7"/>
    </row>
    <row r="22" spans="1:13" x14ac:dyDescent="0.2">
      <c r="A22" s="7"/>
      <c r="B22" s="7"/>
      <c r="C22" s="7"/>
      <c r="D22" s="108"/>
      <c r="E22" s="108"/>
      <c r="F22" s="108"/>
      <c r="G22" s="4"/>
      <c r="H22" s="60"/>
      <c r="I22" s="60"/>
      <c r="J22" s="7"/>
      <c r="K22" s="7"/>
    </row>
    <row r="23" spans="1:13" x14ac:dyDescent="0.2">
      <c r="A23" s="7"/>
      <c r="B23" s="7"/>
      <c r="C23" s="7"/>
      <c r="D23" s="108"/>
      <c r="E23" s="108"/>
      <c r="F23" s="108"/>
      <c r="G23" s="7"/>
      <c r="H23" s="7"/>
      <c r="I23" s="60"/>
      <c r="J23" s="7"/>
      <c r="K23" s="7"/>
    </row>
    <row r="24" spans="1:13" x14ac:dyDescent="0.2">
      <c r="A24" s="7"/>
      <c r="B24" s="7"/>
      <c r="C24" s="7"/>
      <c r="D24" s="108"/>
      <c r="E24" s="108"/>
      <c r="F24" s="108"/>
      <c r="G24" s="7"/>
      <c r="H24" s="7"/>
      <c r="I24" s="7"/>
      <c r="J24" s="7"/>
      <c r="K24" s="7"/>
    </row>
    <row r="25" spans="1:13" x14ac:dyDescent="0.2">
      <c r="A25" s="7"/>
      <c r="B25" s="7"/>
      <c r="C25" s="7"/>
      <c r="D25" s="108"/>
      <c r="E25" s="108"/>
      <c r="F25" s="108"/>
      <c r="G25" s="7"/>
      <c r="H25" s="7"/>
      <c r="I25" s="7"/>
      <c r="J25" s="7"/>
      <c r="K25" s="7"/>
    </row>
    <row r="26" spans="1:13" x14ac:dyDescent="0.2">
      <c r="A26" s="7"/>
      <c r="B26" s="7"/>
      <c r="C26" s="7"/>
      <c r="D26" s="108"/>
      <c r="E26" s="108"/>
      <c r="F26" s="108"/>
      <c r="G26" s="7"/>
      <c r="H26" s="7"/>
      <c r="I26" s="7"/>
      <c r="J26" s="11"/>
      <c r="K26" s="7"/>
    </row>
    <row r="27" spans="1:13" x14ac:dyDescent="0.2">
      <c r="A27" s="7"/>
      <c r="B27" s="7"/>
      <c r="C27" s="7"/>
      <c r="D27" s="108"/>
      <c r="E27" s="108"/>
      <c r="F27" s="108"/>
      <c r="G27" s="7"/>
      <c r="H27" s="7"/>
      <c r="I27" s="7"/>
      <c r="J27" s="11"/>
      <c r="K27" s="7"/>
      <c r="L27" s="100"/>
      <c r="M27" s="100"/>
    </row>
    <row r="28" spans="1:13" ht="18" x14ac:dyDescent="0.2">
      <c r="A28" s="7"/>
      <c r="B28" s="7"/>
      <c r="C28" s="7"/>
      <c r="D28" s="7"/>
      <c r="E28" s="7"/>
      <c r="F28" s="7"/>
      <c r="G28" s="7"/>
      <c r="H28" s="10"/>
      <c r="I28" s="7"/>
      <c r="J28" s="12"/>
      <c r="K28" s="7"/>
    </row>
    <row r="29" spans="1:13" ht="18" x14ac:dyDescent="0.4">
      <c r="A29" s="7"/>
      <c r="B29" s="7"/>
      <c r="C29" s="59" t="s">
        <v>13</v>
      </c>
      <c r="D29" s="49"/>
      <c r="E29" s="49"/>
      <c r="F29" s="57"/>
      <c r="G29" s="56" t="s">
        <v>38</v>
      </c>
      <c r="H29" s="58"/>
      <c r="I29" s="58">
        <f>I16</f>
        <v>366000</v>
      </c>
      <c r="K29" s="7"/>
    </row>
    <row r="30" spans="1:13" ht="18" customHeight="1" x14ac:dyDescent="0.2">
      <c r="A30" s="7"/>
      <c r="B30" s="7"/>
      <c r="C30" s="114" t="s">
        <v>73</v>
      </c>
      <c r="D30" s="114"/>
      <c r="E30" s="114"/>
      <c r="F30" s="114"/>
      <c r="G30" s="56" t="s">
        <v>14</v>
      </c>
      <c r="H30" s="58"/>
      <c r="I30" s="58">
        <f>I29*7%</f>
        <v>25620.000000000004</v>
      </c>
      <c r="K30" s="7"/>
      <c r="L30" s="100"/>
    </row>
    <row r="31" spans="1:13" ht="18" x14ac:dyDescent="0.4">
      <c r="A31" s="7"/>
      <c r="B31" s="7"/>
      <c r="C31" s="49"/>
      <c r="D31" s="49"/>
      <c r="E31" s="49"/>
      <c r="F31" s="57"/>
      <c r="G31" s="56" t="s">
        <v>15</v>
      </c>
      <c r="H31" s="55"/>
      <c r="I31" s="55">
        <v>0</v>
      </c>
      <c r="K31" s="7"/>
    </row>
    <row r="32" spans="1:13" ht="18" x14ac:dyDescent="0.4">
      <c r="A32" s="7"/>
      <c r="B32" s="7"/>
      <c r="C32" s="49"/>
      <c r="D32" s="49"/>
      <c r="E32" s="49"/>
      <c r="F32" s="52"/>
      <c r="G32" s="51" t="s">
        <v>72</v>
      </c>
      <c r="H32" s="50"/>
      <c r="I32" s="54">
        <v>50000</v>
      </c>
      <c r="J32" s="103">
        <f>I29+I30</f>
        <v>391620</v>
      </c>
      <c r="K32" s="103"/>
      <c r="L32"/>
      <c r="M32" s="101"/>
    </row>
    <row r="33" spans="1:13" ht="18" x14ac:dyDescent="0.4">
      <c r="A33" s="7"/>
      <c r="B33" s="7"/>
      <c r="C33"/>
      <c r="D33" s="49"/>
      <c r="E33" s="49"/>
      <c r="F33" s="52"/>
      <c r="G33" s="51"/>
      <c r="H33" s="50"/>
      <c r="I33" s="50" t="s">
        <v>45</v>
      </c>
      <c r="K33" s="7"/>
      <c r="L33"/>
      <c r="M33"/>
    </row>
    <row r="34" spans="1:13" ht="24" customHeight="1" x14ac:dyDescent="0.45">
      <c r="A34" s="7"/>
      <c r="B34" s="7"/>
      <c r="C34" s="49"/>
      <c r="D34" s="49"/>
      <c r="E34" s="49"/>
      <c r="F34" s="48"/>
      <c r="G34" s="47" t="s">
        <v>25</v>
      </c>
      <c r="H34" s="46"/>
      <c r="I34" s="45">
        <f>J32-I32</f>
        <v>341620</v>
      </c>
      <c r="K34" s="7"/>
      <c r="L34"/>
      <c r="M34" s="43"/>
    </row>
    <row r="35" spans="1:13" ht="18" x14ac:dyDescent="0.4">
      <c r="A35" s="7"/>
      <c r="B35" s="7"/>
      <c r="C35" s="33"/>
      <c r="D35" s="33"/>
      <c r="E35" s="33"/>
      <c r="F35" s="106" t="str">
        <f>BAHTTEXT(I34)</f>
        <v>สามแสนสี่หมื่นหนึ่งพันหกร้อยยี่สิบบาทถ้วน</v>
      </c>
      <c r="G35" s="106"/>
      <c r="H35" s="106"/>
      <c r="I35" s="106"/>
      <c r="J35" s="44"/>
      <c r="K35" s="7"/>
      <c r="L35"/>
      <c r="M35" s="43"/>
    </row>
    <row r="36" spans="1:13" x14ac:dyDescent="0.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/>
      <c r="M36"/>
    </row>
    <row r="37" spans="1:13" ht="18" x14ac:dyDescent="0.2">
      <c r="A37" s="7"/>
      <c r="B37" s="7"/>
      <c r="C37" s="7"/>
      <c r="D37" s="7"/>
      <c r="E37" s="7"/>
      <c r="F37" s="7"/>
      <c r="G37" s="7"/>
      <c r="H37" s="113"/>
      <c r="I37" s="113"/>
      <c r="J37" s="113"/>
      <c r="K37" s="7"/>
      <c r="L37"/>
      <c r="M37"/>
    </row>
    <row r="38" spans="1:13" ht="18" x14ac:dyDescent="0.2">
      <c r="A38" s="7"/>
      <c r="B38" s="7"/>
      <c r="C38" s="7"/>
      <c r="D38" s="7"/>
      <c r="E38" s="7"/>
      <c r="F38" s="7"/>
      <c r="G38" s="7"/>
      <c r="H38" s="113"/>
      <c r="I38" s="113"/>
      <c r="J38" s="113"/>
      <c r="K38" s="7"/>
    </row>
    <row r="39" spans="1:13" ht="18" x14ac:dyDescent="0.4">
      <c r="A39" s="7"/>
      <c r="B39" s="7"/>
      <c r="C39" s="7"/>
      <c r="D39" s="34"/>
      <c r="E39" s="7"/>
      <c r="F39" s="7"/>
      <c r="G39" s="7"/>
      <c r="H39" s="7"/>
      <c r="I39" s="7"/>
      <c r="J39" s="7"/>
      <c r="K39" s="7"/>
    </row>
    <row r="40" spans="1:13" x14ac:dyDescent="0.2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</row>
    <row r="41" spans="1:13" ht="18" customHeight="1" x14ac:dyDescent="0.2">
      <c r="A41" s="7"/>
      <c r="B41" s="7"/>
      <c r="C41" s="7"/>
      <c r="D41" s="7"/>
      <c r="E41" s="7"/>
      <c r="F41" s="7"/>
      <c r="G41"/>
      <c r="H41" s="7"/>
      <c r="I41" s="7"/>
      <c r="J41" s="7"/>
      <c r="K41" s="7"/>
    </row>
    <row r="42" spans="1:13" ht="18" customHeight="1" x14ac:dyDescent="0.2">
      <c r="A42" s="7"/>
      <c r="B42" s="7"/>
      <c r="C42" s="7"/>
      <c r="D42" s="7"/>
      <c r="E42"/>
      <c r="F42" s="7"/>
      <c r="G42" s="7"/>
      <c r="H42" s="7"/>
      <c r="I42" s="7"/>
      <c r="J42" s="7"/>
      <c r="K42" s="7"/>
    </row>
    <row r="43" spans="1:13" ht="18" customHeight="1" x14ac:dyDescent="0.2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</row>
    <row r="44" spans="1:13" ht="26.25" customHeight="1" x14ac:dyDescent="0.2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</row>
    <row r="45" spans="1:13" ht="27" customHeight="1" x14ac:dyDescent="0.4">
      <c r="A45" s="7"/>
      <c r="B45" s="7"/>
      <c r="C45" s="112" t="s">
        <v>44</v>
      </c>
      <c r="D45" s="112"/>
      <c r="E45" s="112"/>
      <c r="F45" s="112"/>
      <c r="G45" s="109" t="s">
        <v>43</v>
      </c>
      <c r="H45" s="109"/>
      <c r="I45" s="109"/>
      <c r="J45" s="7"/>
      <c r="K45" s="7"/>
    </row>
    <row r="46" spans="1:13" ht="15" customHeight="1" x14ac:dyDescent="0.2">
      <c r="A46" s="7"/>
      <c r="B46" s="7"/>
      <c r="C46" s="105" t="s">
        <v>42</v>
      </c>
      <c r="D46" s="105"/>
      <c r="E46" s="105"/>
      <c r="F46" s="5"/>
      <c r="G46" s="110" t="s">
        <v>41</v>
      </c>
      <c r="H46" s="110"/>
      <c r="I46" s="110"/>
      <c r="J46" s="4"/>
      <c r="K46" s="4"/>
    </row>
    <row r="47" spans="1:13" ht="21.75" customHeight="1" x14ac:dyDescent="0.2">
      <c r="A47" s="7"/>
      <c r="B47" s="7"/>
      <c r="C47" s="105" t="s">
        <v>20</v>
      </c>
      <c r="D47" s="105"/>
      <c r="E47" s="105"/>
      <c r="F47" s="5"/>
      <c r="G47" s="111" t="s">
        <v>40</v>
      </c>
      <c r="H47" s="111"/>
      <c r="I47" s="111"/>
      <c r="J47" s="4"/>
      <c r="K47" s="4"/>
    </row>
    <row r="48" spans="1:13" ht="28.5" customHeight="1" x14ac:dyDescent="0.2">
      <c r="A48" s="7"/>
      <c r="B48" s="7"/>
      <c r="C48" s="7"/>
      <c r="D48" s="42" t="s">
        <v>39</v>
      </c>
      <c r="E48" s="7"/>
      <c r="F48" s="7"/>
      <c r="G48" s="4"/>
      <c r="H48" s="4"/>
      <c r="I48" s="41"/>
      <c r="J48" s="40"/>
      <c r="K48" s="40"/>
    </row>
    <row r="49" spans="1:11" ht="18.75" customHeight="1" x14ac:dyDescent="0.2">
      <c r="A49" s="7"/>
      <c r="B49" s="7"/>
      <c r="C49" s="7"/>
      <c r="D49" s="4"/>
      <c r="E49" s="4"/>
      <c r="F49" s="4"/>
      <c r="G49" s="4"/>
      <c r="H49" s="4"/>
      <c r="I49" s="39"/>
      <c r="J49" s="4"/>
      <c r="K49" s="4"/>
    </row>
    <row r="50" spans="1:11" ht="44.25" customHeight="1" x14ac:dyDescent="0.2">
      <c r="A50" s="169">
        <v>1</v>
      </c>
      <c r="B50" s="7"/>
      <c r="C50" s="7"/>
      <c r="D50" s="7"/>
      <c r="E50" s="7"/>
      <c r="F50" s="7"/>
      <c r="G50" s="4"/>
      <c r="H50" s="4"/>
      <c r="I50" s="39"/>
      <c r="J50" s="4"/>
      <c r="K50" s="4">
        <v>1</v>
      </c>
    </row>
    <row r="51" spans="1:11" ht="21" customHeight="1" x14ac:dyDescent="0.2">
      <c r="A51" s="6"/>
      <c r="B51" s="6"/>
      <c r="D51" s="6"/>
      <c r="E51" s="6"/>
      <c r="F51" s="6"/>
      <c r="G51" s="6"/>
      <c r="H51" s="6"/>
      <c r="I51" s="6"/>
      <c r="J51" s="6"/>
      <c r="K51" s="6"/>
    </row>
  </sheetData>
  <mergeCells count="31">
    <mergeCell ref="D18:F18"/>
    <mergeCell ref="G9:H9"/>
    <mergeCell ref="D12:H12"/>
    <mergeCell ref="D11:G11"/>
    <mergeCell ref="D25:F25"/>
    <mergeCell ref="E13:H13"/>
    <mergeCell ref="C10:G10"/>
    <mergeCell ref="D15:F15"/>
    <mergeCell ref="D14:F14"/>
    <mergeCell ref="D16:F16"/>
    <mergeCell ref="D20:F20"/>
    <mergeCell ref="D21:F21"/>
    <mergeCell ref="D22:F22"/>
    <mergeCell ref="D23:F23"/>
    <mergeCell ref="D19:F19"/>
    <mergeCell ref="J32:K32"/>
    <mergeCell ref="I10:J10"/>
    <mergeCell ref="C46:E46"/>
    <mergeCell ref="C47:E47"/>
    <mergeCell ref="F35:I35"/>
    <mergeCell ref="I11:J11"/>
    <mergeCell ref="D24:F24"/>
    <mergeCell ref="G45:I45"/>
    <mergeCell ref="G46:I46"/>
    <mergeCell ref="G47:I47"/>
    <mergeCell ref="C45:F45"/>
    <mergeCell ref="H37:J37"/>
    <mergeCell ref="H38:J38"/>
    <mergeCell ref="D27:F27"/>
    <mergeCell ref="D26:F26"/>
    <mergeCell ref="C30:F30"/>
  </mergeCells>
  <pageMargins left="0" right="0" top="0" bottom="0" header="0" footer="0"/>
  <pageSetup paperSize="9" scale="86" orientation="portrait" r:id="rId1"/>
  <rowBreaks count="1" manualBreakCount="1">
    <brk id="51" max="9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เสนอราคา</vt:lpstr>
      <vt:lpstr>อินวอย(ช)</vt:lpstr>
      <vt:lpstr>รับเงิน</vt:lpstr>
      <vt:lpstr>รับเงิน!Print_Area</vt:lpstr>
      <vt:lpstr>เสนอราคา!Print_Area</vt:lpstr>
      <vt:lpstr>'อินวอย(ช)'!Print_Area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อารยา เนียมศริ</dc:creator>
  <cp:lastModifiedBy>DOGkung</cp:lastModifiedBy>
  <cp:lastPrinted>2026-10-10T08:37:05Z</cp:lastPrinted>
  <dcterms:created xsi:type="dcterms:W3CDTF">2025-10-12T00:52:34Z</dcterms:created>
  <dcterms:modified xsi:type="dcterms:W3CDTF">2026-10-12T11:00:59Z</dcterms:modified>
</cp:coreProperties>
</file>